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28389E77-7640-9E18-AD5C-E98E2F4A8B8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hir\Documents\Mihir\Projects\Office\EMS\"/>
    </mc:Choice>
  </mc:AlternateContent>
  <xr:revisionPtr revIDLastSave="0" documentId="13_ncr:1_{1F44B019-5477-40E4-946F-9F8B6A270E5A}" xr6:coauthVersionLast="47" xr6:coauthVersionMax="47" xr10:uidLastSave="{00000000-0000-0000-0000-000000000000}"/>
  <bookViews>
    <workbookView xWindow="-108" yWindow="-108" windowWidth="23256" windowHeight="13176" tabRatio="753" xr2:uid="{00000000-000D-0000-FFFF-FFFF00000000}"/>
  </bookViews>
  <sheets>
    <sheet name="Employee Salary Working Details" sheetId="18" r:id="rId1"/>
    <sheet name="Att" sheetId="22" r:id="rId2"/>
    <sheet name="Salary Slips" sheetId="17" r:id="rId3"/>
    <sheet name="Employee List" sheetId="23" r:id="rId4"/>
  </sheets>
  <definedNames>
    <definedName name="_xlnm.Print_Area" localSheetId="2">'Salary Slips'!$B$3:$E$29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9" i="18" l="1"/>
  <c r="I31" i="18"/>
  <c r="AM32" i="18"/>
  <c r="R32" i="18"/>
  <c r="Q32" i="18"/>
  <c r="P32" i="18"/>
  <c r="O32" i="18"/>
  <c r="AG32" i="18" s="1"/>
  <c r="AH32" i="18" s="1"/>
  <c r="AI32" i="18" s="1"/>
  <c r="J32" i="18"/>
  <c r="T32" i="18" l="1"/>
  <c r="U32" i="18" s="1"/>
  <c r="AM31" i="18"/>
  <c r="J31" i="18"/>
  <c r="R31" i="18"/>
  <c r="J21" i="18"/>
  <c r="J23" i="18"/>
  <c r="J27" i="18"/>
  <c r="I23" i="18"/>
  <c r="I30" i="18"/>
  <c r="AM30" i="18"/>
  <c r="J30" i="18"/>
  <c r="I29" i="18"/>
  <c r="E27" i="22"/>
  <c r="J29" i="18"/>
  <c r="I28" i="18"/>
  <c r="R28" i="18" s="1"/>
  <c r="AM29" i="18"/>
  <c r="E26" i="22"/>
  <c r="E25" i="22"/>
  <c r="E24" i="22"/>
  <c r="AM28" i="18"/>
  <c r="J28" i="18"/>
  <c r="J25" i="18"/>
  <c r="AJ32" i="18" l="1"/>
  <c r="AK32" i="18" s="1"/>
  <c r="X32" i="18"/>
  <c r="AC32" i="18" s="1"/>
  <c r="AD32" i="18" s="1"/>
  <c r="AN32" i="18" s="1"/>
  <c r="O31" i="18"/>
  <c r="P31" i="18"/>
  <c r="Q31" i="18"/>
  <c r="O30" i="18"/>
  <c r="AG30" i="18" s="1"/>
  <c r="AH30" i="18" s="1"/>
  <c r="AI30" i="18" s="1"/>
  <c r="P30" i="18"/>
  <c r="Q30" i="18"/>
  <c r="R30" i="18"/>
  <c r="P29" i="18"/>
  <c r="Q29" i="18"/>
  <c r="R29" i="18"/>
  <c r="O29" i="18"/>
  <c r="AG29" i="18" s="1"/>
  <c r="AH29" i="18" s="1"/>
  <c r="AI29" i="18" s="1"/>
  <c r="O28" i="18"/>
  <c r="AG28" i="18" s="1"/>
  <c r="AH28" i="18" s="1"/>
  <c r="T29" i="18"/>
  <c r="P28" i="18"/>
  <c r="Q28" i="18"/>
  <c r="L26" i="18"/>
  <c r="AM27" i="18"/>
  <c r="I27" i="18"/>
  <c r="U29" i="18" l="1"/>
  <c r="AJ29" i="18" s="1"/>
  <c r="AK29" i="18" s="1"/>
  <c r="T31" i="18"/>
  <c r="U31" i="18" s="1"/>
  <c r="AG31" i="18"/>
  <c r="AH31" i="18" s="1"/>
  <c r="AI31" i="18" s="1"/>
  <c r="T30" i="18"/>
  <c r="U30" i="18" s="1"/>
  <c r="AJ30" i="18" s="1"/>
  <c r="AK30" i="18" s="1"/>
  <c r="T28" i="18"/>
  <c r="U28" i="18" s="1"/>
  <c r="AJ28" i="18" s="1"/>
  <c r="AI28" i="18"/>
  <c r="P27" i="18"/>
  <c r="Q27" i="18"/>
  <c r="R27" i="18"/>
  <c r="O27" i="18"/>
  <c r="X29" i="18" l="1"/>
  <c r="AC29" i="18" s="1"/>
  <c r="AD29" i="18" s="1"/>
  <c r="AN29" i="18" s="1"/>
  <c r="X30" i="18"/>
  <c r="AC30" i="18" s="1"/>
  <c r="AD30" i="18" s="1"/>
  <c r="AN30" i="18" s="1"/>
  <c r="AJ31" i="18"/>
  <c r="AK31" i="18" s="1"/>
  <c r="X31" i="18"/>
  <c r="AC31" i="18" s="1"/>
  <c r="AD31" i="18" s="1"/>
  <c r="W28" i="18"/>
  <c r="AK28" i="18" s="1"/>
  <c r="X28" i="18"/>
  <c r="V27" i="18"/>
  <c r="AF27" i="18"/>
  <c r="AG27" i="18"/>
  <c r="AH27" i="18" s="1"/>
  <c r="T27" i="18"/>
  <c r="U27" i="18" s="1"/>
  <c r="W27" i="18" s="1"/>
  <c r="AN31" i="18" l="1"/>
  <c r="AI27" i="18"/>
  <c r="AC28" i="18"/>
  <c r="AD28" i="18" s="1"/>
  <c r="AN28" i="18" s="1"/>
  <c r="X27" i="18"/>
  <c r="AC27" i="18" s="1"/>
  <c r="AD27" i="18" s="1"/>
  <c r="AJ27" i="18"/>
  <c r="AK27" i="18" s="1"/>
  <c r="AN27" i="18" l="1"/>
  <c r="AM26" i="18" l="1"/>
  <c r="N26" i="18"/>
  <c r="R26" i="18" s="1"/>
  <c r="M26" i="18"/>
  <c r="K26" i="18"/>
  <c r="O26" i="18" l="1"/>
  <c r="P26" i="18"/>
  <c r="Q26" i="18"/>
  <c r="AG26" i="18" l="1"/>
  <c r="V26" i="18"/>
  <c r="AF26" i="18"/>
  <c r="T26" i="18"/>
  <c r="U26" i="18" s="1"/>
  <c r="X26" i="18" s="1"/>
  <c r="L38" i="18"/>
  <c r="L39" i="18" s="1"/>
  <c r="AH26" i="18" l="1"/>
  <c r="AI26" i="18" s="1"/>
  <c r="AJ26" i="18"/>
  <c r="W26" i="18"/>
  <c r="AK26" i="18" l="1"/>
  <c r="AC26" i="18"/>
  <c r="AD26" i="18" s="1"/>
  <c r="AN26" i="18" s="1"/>
  <c r="I25" i="18"/>
  <c r="AM25" i="18" l="1"/>
  <c r="R25" i="18"/>
  <c r="Q25" i="18"/>
  <c r="P25" i="18"/>
  <c r="O25" i="18"/>
  <c r="T25" i="18" l="1"/>
  <c r="U25" i="18" s="1"/>
  <c r="AG25" i="18"/>
  <c r="AH25" i="18" s="1"/>
  <c r="AI25" i="18" s="1"/>
  <c r="X25" i="18" l="1"/>
  <c r="AJ25" i="18"/>
  <c r="AC25" i="18" l="1"/>
  <c r="AD25" i="18" s="1"/>
  <c r="AK25" i="18"/>
  <c r="AM24" i="18"/>
  <c r="R24" i="18"/>
  <c r="Q24" i="18"/>
  <c r="P24" i="18"/>
  <c r="O24" i="18"/>
  <c r="V24" i="18" s="1"/>
  <c r="AN25" i="18" l="1"/>
  <c r="AF24" i="18"/>
  <c r="AH24" i="18" s="1"/>
  <c r="AI24" i="18" s="1"/>
  <c r="T24" i="18"/>
  <c r="U24" i="18" s="1"/>
  <c r="W24" i="18" l="1"/>
  <c r="AJ24" i="18"/>
  <c r="AC24" i="18" l="1"/>
  <c r="AD24" i="18" s="1"/>
  <c r="AK24" i="18"/>
  <c r="AN24" i="18" l="1"/>
  <c r="C13" i="17"/>
  <c r="X17" i="18" l="1"/>
  <c r="W17" i="18"/>
  <c r="N17" i="18"/>
  <c r="M17" i="18"/>
  <c r="L17" i="18"/>
  <c r="K17" i="18"/>
  <c r="J18" i="18" l="1"/>
  <c r="AM23" i="18"/>
  <c r="R23" i="18"/>
  <c r="Q23" i="18"/>
  <c r="P23" i="18"/>
  <c r="O23" i="18"/>
  <c r="AG23" i="18" s="1"/>
  <c r="AH23" i="18" s="1"/>
  <c r="AI23" i="18" s="1"/>
  <c r="T23" i="18" l="1"/>
  <c r="U23" i="18" s="1"/>
  <c r="W23" i="18" l="1"/>
  <c r="AJ23" i="18"/>
  <c r="I21" i="18"/>
  <c r="AK23" i="18" l="1"/>
  <c r="AC23" i="18"/>
  <c r="AD23" i="18" s="1"/>
  <c r="AM21" i="18"/>
  <c r="O21" i="18"/>
  <c r="AN23" i="18" l="1"/>
  <c r="P21" i="18"/>
  <c r="Q21" i="18"/>
  <c r="R21" i="18"/>
  <c r="T21" i="18"/>
  <c r="AG21" i="18"/>
  <c r="AH21" i="18" s="1"/>
  <c r="AI21" i="18" s="1"/>
  <c r="U21" i="18" l="1"/>
  <c r="X21" i="18" s="1"/>
  <c r="AJ21" i="18" l="1"/>
  <c r="W21" i="18"/>
  <c r="P20" i="18"/>
  <c r="AM20" i="18"/>
  <c r="AK21" i="18" l="1"/>
  <c r="AC21" i="18"/>
  <c r="AD21" i="18" s="1"/>
  <c r="Q20" i="18"/>
  <c r="R20" i="18"/>
  <c r="O20" i="18"/>
  <c r="AN21" i="18" l="1"/>
  <c r="AG20" i="18"/>
  <c r="AH20" i="18" s="1"/>
  <c r="AI20" i="18" s="1"/>
  <c r="T20" i="18"/>
  <c r="U20" i="18" s="1"/>
  <c r="I18" i="18"/>
  <c r="I15" i="18"/>
  <c r="I14" i="18"/>
  <c r="I13" i="18"/>
  <c r="O17" i="18" l="1"/>
  <c r="P17" i="18"/>
  <c r="Q17" i="18"/>
  <c r="R17" i="18"/>
  <c r="AJ20" i="18"/>
  <c r="W20" i="18"/>
  <c r="X20" i="18"/>
  <c r="T17" i="18" l="1"/>
  <c r="V17" i="18"/>
  <c r="AC17" i="18" s="1"/>
  <c r="AD17" i="18" s="1"/>
  <c r="AG17" i="18"/>
  <c r="AK20" i="18"/>
  <c r="AC20" i="18"/>
  <c r="AD20" i="18" s="1"/>
  <c r="AL33" i="18"/>
  <c r="AE33" i="18"/>
  <c r="AB33" i="18"/>
  <c r="AA33" i="18"/>
  <c r="Z33" i="18"/>
  <c r="Y33" i="18"/>
  <c r="S33" i="18"/>
  <c r="I33" i="18"/>
  <c r="M14" i="18"/>
  <c r="M15" i="18"/>
  <c r="M13" i="18"/>
  <c r="L15" i="18"/>
  <c r="L14" i="18"/>
  <c r="L13" i="18"/>
  <c r="AN20" i="18" l="1"/>
  <c r="M33" i="18"/>
  <c r="AT38" i="18"/>
  <c r="AU38" i="18" s="1"/>
  <c r="AU39" i="18" s="1"/>
  <c r="AR40" i="18"/>
  <c r="AM43" i="18"/>
  <c r="AQ48" i="18"/>
  <c r="AR48" i="18"/>
  <c r="AS47" i="18"/>
  <c r="AS46" i="18"/>
  <c r="AO43" i="18"/>
  <c r="AN42" i="18"/>
  <c r="AN45" i="18" s="1"/>
  <c r="AS48" i="18" l="1"/>
  <c r="AO45" i="18"/>
  <c r="AN50" i="18"/>
  <c r="AN51" i="18" s="1"/>
  <c r="E22" i="17" l="1"/>
  <c r="E15" i="17"/>
  <c r="D6" i="17"/>
  <c r="AK39" i="18" l="1"/>
  <c r="AM18" i="18"/>
  <c r="R18" i="18"/>
  <c r="C22" i="17" s="1"/>
  <c r="Q18" i="18"/>
  <c r="P18" i="18"/>
  <c r="C20" i="17" s="1"/>
  <c r="O18" i="18"/>
  <c r="C19" i="17" s="1"/>
  <c r="AM17" i="18"/>
  <c r="AM15" i="18"/>
  <c r="AH15" i="18"/>
  <c r="AI15" i="18" s="1"/>
  <c r="N15" i="18"/>
  <c r="R15" i="18" s="1"/>
  <c r="Q15" i="18"/>
  <c r="P15" i="18"/>
  <c r="K15" i="18"/>
  <c r="O15" i="18" s="1"/>
  <c r="AM14" i="18"/>
  <c r="AH14" i="18"/>
  <c r="AI14" i="18" s="1"/>
  <c r="N14" i="18"/>
  <c r="R14" i="18" s="1"/>
  <c r="Q14" i="18"/>
  <c r="P14" i="18"/>
  <c r="K14" i="18"/>
  <c r="O14" i="18" s="1"/>
  <c r="AM13" i="18"/>
  <c r="AH13" i="18"/>
  <c r="AI13" i="18" s="1"/>
  <c r="N13" i="18"/>
  <c r="R13" i="18" s="1"/>
  <c r="Q13" i="18"/>
  <c r="P13" i="18"/>
  <c r="K13" i="18"/>
  <c r="O13" i="18" s="1"/>
  <c r="L33" i="18"/>
  <c r="C21" i="17" l="1"/>
  <c r="C24" i="17" s="1"/>
  <c r="AM33" i="18"/>
  <c r="W45" i="18" s="1"/>
  <c r="N33" i="18"/>
  <c r="V18" i="18"/>
  <c r="E19" i="17" s="1"/>
  <c r="AF18" i="18"/>
  <c r="AG18" i="18"/>
  <c r="T18" i="18"/>
  <c r="U18" i="18" s="1"/>
  <c r="T13" i="18"/>
  <c r="U13" i="18" s="1"/>
  <c r="T15" i="18"/>
  <c r="U15" i="18" s="1"/>
  <c r="T14" i="18"/>
  <c r="U14" i="18" s="1"/>
  <c r="P33" i="18"/>
  <c r="Q33" i="18"/>
  <c r="R33" i="18" l="1"/>
  <c r="AF17" i="18"/>
  <c r="X15" i="18"/>
  <c r="W15" i="18"/>
  <c r="AJ15" i="18"/>
  <c r="X14" i="18"/>
  <c r="W14" i="18"/>
  <c r="AJ14" i="18"/>
  <c r="X18" i="18"/>
  <c r="AJ18" i="18"/>
  <c r="W18" i="18"/>
  <c r="X13" i="18"/>
  <c r="W13" i="18"/>
  <c r="AJ13" i="18"/>
  <c r="U49" i="18"/>
  <c r="AH18" i="18"/>
  <c r="AI18" i="18" s="1"/>
  <c r="AH17" i="18" l="1"/>
  <c r="AC18" i="18"/>
  <c r="AD18" i="18" s="1"/>
  <c r="AK18" i="18"/>
  <c r="E20" i="17"/>
  <c r="AK13" i="18"/>
  <c r="AC13" i="18"/>
  <c r="AC15" i="18"/>
  <c r="AK15" i="18"/>
  <c r="AC14" i="18"/>
  <c r="AK14" i="18"/>
  <c r="E24" i="17" l="1"/>
  <c r="C26" i="17" s="1"/>
  <c r="AN18" i="18"/>
  <c r="AJ17" i="18"/>
  <c r="AI17" i="18"/>
  <c r="AD15" i="18"/>
  <c r="AD13" i="18"/>
  <c r="AN13" i="18" s="1"/>
  <c r="AD14" i="18"/>
  <c r="E26" i="17"/>
  <c r="AN15" i="18" l="1"/>
  <c r="AN14" i="18"/>
  <c r="AK17" i="18"/>
  <c r="AN17" i="18" l="1"/>
  <c r="J33" i="18" l="1"/>
  <c r="K33" i="18"/>
  <c r="AG33" i="18" l="1"/>
  <c r="O33" i="18"/>
  <c r="T33" i="18"/>
  <c r="AF33" i="18"/>
  <c r="V33" i="18"/>
  <c r="W39" i="18" s="1"/>
  <c r="W40" i="18" s="1"/>
  <c r="U33" i="18" l="1"/>
  <c r="AJ33" i="18"/>
  <c r="AH33" i="18"/>
  <c r="AI33" i="18"/>
  <c r="X33" i="18"/>
  <c r="W44" i="18" s="1"/>
  <c r="W33" i="18" l="1"/>
  <c r="W36" i="18" s="1"/>
  <c r="W37" i="18" s="1"/>
  <c r="W42" i="18" s="1"/>
  <c r="W47" i="18" s="1"/>
  <c r="AK33" i="18"/>
  <c r="AC33" i="18" l="1"/>
  <c r="AF2" i="18"/>
  <c r="AN33" i="18"/>
  <c r="AN47" i="18" s="1"/>
  <c r="AD33" i="18"/>
  <c r="AD36" i="18" s="1"/>
</calcChain>
</file>

<file path=xl/sharedStrings.xml><?xml version="1.0" encoding="utf-8"?>
<sst xmlns="http://schemas.openxmlformats.org/spreadsheetml/2006/main" count="627" uniqueCount="176">
  <si>
    <t>Prabh Solutions Pvt. Ltd.</t>
  </si>
  <si>
    <t>U32204MH2013PTC250593</t>
  </si>
  <si>
    <t>CIN :-</t>
  </si>
  <si>
    <t>27AAHCP4747K1ZX</t>
  </si>
  <si>
    <t>GSTIN :-</t>
  </si>
  <si>
    <t>EmpCode</t>
  </si>
  <si>
    <t>Name</t>
  </si>
  <si>
    <t>PF Establishment Code</t>
  </si>
  <si>
    <t>Designation</t>
  </si>
  <si>
    <t>Joining Date</t>
  </si>
  <si>
    <t>Paid Days</t>
  </si>
  <si>
    <t>UAN OF PF</t>
  </si>
  <si>
    <t>Earning</t>
  </si>
  <si>
    <t>Amount</t>
  </si>
  <si>
    <t>Deduction</t>
  </si>
  <si>
    <t>Basic Allowance</t>
  </si>
  <si>
    <t>HRA Allowance</t>
  </si>
  <si>
    <t>Medical Allowance</t>
  </si>
  <si>
    <t>Conveyance Allowance</t>
  </si>
  <si>
    <t>PF</t>
  </si>
  <si>
    <t>ESIC</t>
  </si>
  <si>
    <t>PT</t>
  </si>
  <si>
    <t>Loan</t>
  </si>
  <si>
    <t>Gross Earning</t>
  </si>
  <si>
    <t>Gross Deduction</t>
  </si>
  <si>
    <t>Net Earning</t>
  </si>
  <si>
    <t>In words</t>
  </si>
  <si>
    <t>Aadhar No.</t>
  </si>
  <si>
    <t>KDMAL2281251000</t>
  </si>
  <si>
    <t>The Minimum Wages Act, 1948</t>
  </si>
  <si>
    <t>FORM II [See Rule 27 (1)]</t>
  </si>
  <si>
    <t>Muster Roll cum Wages Register</t>
  </si>
  <si>
    <t>Name &amp; Address of the Establishment/Contractor:-</t>
  </si>
  <si>
    <t xml:space="preserve">Name &amp; Address of the Principal Employer  : </t>
  </si>
  <si>
    <t>Days in Month</t>
  </si>
  <si>
    <t>Prabh Solutions Private Limited, 9, Dharti, Indraprastha Complex, Satya Nagar, Borivali West, Mumbai - 400092</t>
  </si>
  <si>
    <t>Nayan Mistry, 8/c/7 Eltee Apartment, Sai Baba Nagar, Borivali West, Mumbai - 400092</t>
  </si>
  <si>
    <t>Sr. No.</t>
  </si>
  <si>
    <t>Emp Code</t>
  </si>
  <si>
    <t>Full Name of the Employee</t>
  </si>
  <si>
    <t>Desiganation &amp; Nature of Work.</t>
  </si>
  <si>
    <t>Date of Entry into Service</t>
  </si>
  <si>
    <t>No of Days Worked</t>
  </si>
  <si>
    <t>FIX RATE</t>
  </si>
  <si>
    <t>ERN BASIC</t>
  </si>
  <si>
    <t>ERN HRA</t>
  </si>
  <si>
    <t>ERN Conveyance</t>
  </si>
  <si>
    <t xml:space="preserve">ERN Medical </t>
  </si>
  <si>
    <t>O.T Hours</t>
  </si>
  <si>
    <t>Other +O.T.Amount</t>
  </si>
  <si>
    <t>GORSS</t>
  </si>
  <si>
    <t>Employee P.F.12%</t>
  </si>
  <si>
    <t>Employee ESIC 0.75%</t>
  </si>
  <si>
    <t>P.T.</t>
  </si>
  <si>
    <t>Employee MLWF 12</t>
  </si>
  <si>
    <t>Adv</t>
  </si>
  <si>
    <t>TDS</t>
  </si>
  <si>
    <t>Total Deduction</t>
  </si>
  <si>
    <t>Net SALARY</t>
  </si>
  <si>
    <t>Employee Sig.</t>
  </si>
  <si>
    <t>Employer P.F. 12%</t>
  </si>
  <si>
    <t>Employer Admin 1%</t>
  </si>
  <si>
    <t>Employer Total P.F.</t>
  </si>
  <si>
    <t>Employee +Employer P.F. 25%</t>
  </si>
  <si>
    <t>Employer ESIC 3.25%</t>
  </si>
  <si>
    <t>Employee +Employer ESIC 4%</t>
  </si>
  <si>
    <t>Employer MLWF 36</t>
  </si>
  <si>
    <t>Employee +Employer  MLWF 48</t>
  </si>
  <si>
    <t>Total CTC</t>
  </si>
  <si>
    <t>PR-01</t>
  </si>
  <si>
    <t>PR-02</t>
  </si>
  <si>
    <t>PR-03</t>
  </si>
  <si>
    <t>PR-04</t>
  </si>
  <si>
    <t>PR-05</t>
  </si>
  <si>
    <t>PR-06</t>
  </si>
  <si>
    <t>PR-07</t>
  </si>
  <si>
    <t>PR-09</t>
  </si>
  <si>
    <t>PR-10</t>
  </si>
  <si>
    <t>Total</t>
  </si>
  <si>
    <t>Note :- 1)This is a computer Generated Statement, Hence Signature is not Required</t>
  </si>
  <si>
    <t>2) All Employee payment for Bank Thorugh Bank Details  :-</t>
  </si>
  <si>
    <t>3)Bank Statement OR Salary Paid Confirmation duly attested Employer</t>
  </si>
  <si>
    <t>ESIC Wages :-</t>
  </si>
  <si>
    <t>ESIC Amount :-</t>
  </si>
  <si>
    <t>P.F. Wages</t>
  </si>
  <si>
    <t>P.F. Amount:-</t>
  </si>
  <si>
    <t>Total RTGS Amount</t>
  </si>
  <si>
    <t>P.T. Amount</t>
  </si>
  <si>
    <t>Staff</t>
  </si>
  <si>
    <t>MLWF Amount</t>
  </si>
  <si>
    <t>Cash</t>
  </si>
  <si>
    <t>Total Payble Compliance Amount</t>
  </si>
  <si>
    <t>35000528850001099</t>
  </si>
  <si>
    <t>Date of Birth</t>
  </si>
  <si>
    <t>PAN No.</t>
  </si>
  <si>
    <t>This is computer printed statement and doesn’t need signature</t>
  </si>
  <si>
    <t>Month</t>
  </si>
  <si>
    <t>PR-08</t>
  </si>
  <si>
    <t>PR-11</t>
  </si>
  <si>
    <t>PR-012</t>
  </si>
  <si>
    <t>PR-013</t>
  </si>
  <si>
    <t>Pan No.</t>
  </si>
  <si>
    <t>SR. NO.</t>
  </si>
  <si>
    <t>Emp.Code</t>
  </si>
  <si>
    <t>Nature of work Destination (Designation)</t>
  </si>
  <si>
    <t>Total Days Paid</t>
  </si>
  <si>
    <t>P</t>
  </si>
  <si>
    <t>PR-12</t>
  </si>
  <si>
    <t>Last date of Service</t>
  </si>
  <si>
    <t>Last Salary</t>
  </si>
  <si>
    <t>Experience Letter</t>
  </si>
  <si>
    <t>Relieving Letter</t>
  </si>
  <si>
    <t>In Service</t>
  </si>
  <si>
    <t>No</t>
  </si>
  <si>
    <t>Yes</t>
  </si>
  <si>
    <t>PR-014</t>
  </si>
  <si>
    <t>Senior Network Engineer</t>
  </si>
  <si>
    <t>PR-015</t>
  </si>
  <si>
    <t>PR-016</t>
  </si>
  <si>
    <t>PR-16</t>
  </si>
  <si>
    <t>PR-017</t>
  </si>
  <si>
    <t>3516912289</t>
  </si>
  <si>
    <t>Office Assistant</t>
  </si>
  <si>
    <t>BMCPS0187H</t>
  </si>
  <si>
    <t>PR-018</t>
  </si>
  <si>
    <t>PR-18</t>
  </si>
  <si>
    <t>Payslip for the Month of</t>
  </si>
  <si>
    <t>ESIC Employer Code</t>
  </si>
  <si>
    <t>Employee IP Number</t>
  </si>
  <si>
    <t>PR-019</t>
  </si>
  <si>
    <t xml:space="preserve">Weekly Holiday </t>
  </si>
  <si>
    <t>PR-020</t>
  </si>
  <si>
    <t>PR-20</t>
  </si>
  <si>
    <t>PR-021</t>
  </si>
  <si>
    <t>PR-022</t>
  </si>
  <si>
    <t>PR-023</t>
  </si>
  <si>
    <t>Register for the month of Nov 2025</t>
  </si>
  <si>
    <t>PR-024</t>
  </si>
  <si>
    <t>Left on 
17 Nov 2025</t>
  </si>
  <si>
    <t>Left Organisation on 23rd Jan 2026</t>
  </si>
  <si>
    <t>Left</t>
  </si>
  <si>
    <t>PR-025</t>
  </si>
  <si>
    <t>PR-026</t>
  </si>
  <si>
    <t>PR-002</t>
  </si>
  <si>
    <t>PR-003</t>
  </si>
  <si>
    <t>PR-004</t>
  </si>
  <si>
    <t>PR-009</t>
  </si>
  <si>
    <t>New Joinee</t>
  </si>
  <si>
    <t>Muster Roll for the month of  Apr 2026</t>
  </si>
  <si>
    <t>Register for the month of May 2026</t>
  </si>
  <si>
    <t>SL</t>
  </si>
  <si>
    <t>PL</t>
  </si>
  <si>
    <t>SL - Sick Leave</t>
  </si>
  <si>
    <t>PL - Paid Leave</t>
  </si>
  <si>
    <t>A</t>
  </si>
  <si>
    <t>A - Absent</t>
  </si>
  <si>
    <t>Emp 1</t>
  </si>
  <si>
    <t>Emp 2</t>
  </si>
  <si>
    <t>Emp 3</t>
  </si>
  <si>
    <t>Emp 4</t>
  </si>
  <si>
    <t>Emp 5</t>
  </si>
  <si>
    <t>Emp 6</t>
  </si>
  <si>
    <t>Emp 7</t>
  </si>
  <si>
    <t>Emp 8</t>
  </si>
  <si>
    <t>Emp 9</t>
  </si>
  <si>
    <t>Emp 10</t>
  </si>
  <si>
    <t>Emp 11</t>
  </si>
  <si>
    <t>Emp 12</t>
  </si>
  <si>
    <t>Emp 13</t>
  </si>
  <si>
    <t>Emp 14</t>
  </si>
  <si>
    <t>Emp 15</t>
  </si>
  <si>
    <t>Emp 16</t>
  </si>
  <si>
    <t>Emp 17</t>
  </si>
  <si>
    <t>Emp 18</t>
  </si>
  <si>
    <t>Emp 19</t>
  </si>
  <si>
    <t>Emp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</si>
</sst>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_(* #,##0.00_);_(* \(#,##0.00\);_(* &quot;-&quot;??_);_(@_)"/>
    <numFmt numFmtId="165" formatCode="0.00000"/>
    <numFmt numFmtId="166" formatCode="[$INR]\ #,##0"/>
    <numFmt numFmtId="167" formatCode="_(* #,##0_);_(* \(#,##0\);_(* &quot;-&quot;??_);_(@_)"/>
    <numFmt numFmtId="168" formatCode="_ [$INR]\ * #,##0_ ;_ [$INR]\ * \-#,##0_ ;_ [$INR]\ * &quot;-&quot;_ ;_ @_ "/>
    <numFmt numFmtId="169" formatCode="_ * #,##0_ ;_ * \-#,##0_ ;_ * &quot;-&quot;??_ ;_ @_ "/>
    <numFmt numFmtId="170" formatCode="[$-14009]dd\ mmmm\ yyyy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b/>
      <sz val="10"/>
      <name val="Tahoma"/>
      <family val="2"/>
    </font>
    <font>
      <sz val="10"/>
      <color theme="1"/>
      <name val="Arial"/>
      <family val="2"/>
    </font>
    <font>
      <sz val="10"/>
      <color rgb="FFFF0000"/>
      <name val="Tahoma"/>
      <family val="2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sz val="12"/>
      <name val="Tahoma"/>
      <family val="2"/>
    </font>
    <font>
      <sz val="12"/>
      <color rgb="FF000000"/>
      <name val="Tahoma"/>
      <family val="2"/>
    </font>
    <font>
      <sz val="11"/>
      <color rgb="FF000000"/>
      <name val="Calibri"/>
      <family val="2"/>
      <scheme val="minor"/>
    </font>
    <font>
      <b/>
      <sz val="14"/>
      <color theme="1"/>
      <name val="Tahoma"/>
      <family val="2"/>
    </font>
    <font>
      <sz val="14"/>
      <name val="Tahoma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trike/>
      <sz val="10"/>
      <color rgb="FFFF0000"/>
      <name val="Tahoma"/>
      <family val="2"/>
    </font>
    <font>
      <sz val="10"/>
      <color rgb="FFFF0000"/>
      <name val="Arial"/>
      <family val="2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2"/>
      <name val="Tahoma"/>
      <family val="2"/>
    </font>
    <font>
      <b/>
      <sz val="12"/>
      <color rgb="FF000000"/>
      <name val="Tahoma"/>
      <family val="2"/>
    </font>
    <font>
      <strike/>
      <sz val="10"/>
      <name val="Tahoma"/>
      <family val="2"/>
    </font>
    <font>
      <strike/>
      <sz val="11"/>
      <color theme="1"/>
      <name val="Calibri"/>
      <family val="2"/>
      <scheme val="minor"/>
    </font>
    <font>
      <b/>
      <strike/>
      <sz val="10"/>
      <name val="Tahoma"/>
      <family val="2"/>
    </font>
    <font>
      <strike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0000"/>
      <name val="Tahoma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0" fontId="1" fillId="0" borderId="0"/>
    <xf numFmtId="0" fontId="3" fillId="0" borderId="0"/>
    <xf numFmtId="43" fontId="7" fillId="0" borderId="0" applyFont="0" applyFill="0" applyBorder="0" applyAlignment="0" applyProtection="0"/>
  </cellStyleXfs>
  <cellXfs count="208">
    <xf numFmtId="0" fontId="0" fillId="0" borderId="0" xfId="0"/>
    <xf numFmtId="0" fontId="5" fillId="0" borderId="0" xfId="0" applyFont="1"/>
    <xf numFmtId="0" fontId="8" fillId="0" borderId="0" xfId="0" applyFont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 textRotation="90"/>
    </xf>
    <xf numFmtId="0" fontId="10" fillId="0" borderId="7" xfId="0" applyFont="1" applyBorder="1" applyAlignment="1">
      <alignment vertical="center" wrapText="1"/>
    </xf>
    <xf numFmtId="14" fontId="8" fillId="0" borderId="7" xfId="0" applyNumberFormat="1" applyFont="1" applyBorder="1" applyAlignment="1">
      <alignment horizontal="center" vertical="center" textRotation="90" wrapText="1"/>
    </xf>
    <xf numFmtId="167" fontId="8" fillId="3" borderId="7" xfId="7" applyNumberFormat="1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1" fontId="8" fillId="0" borderId="7" xfId="0" applyNumberFormat="1" applyFont="1" applyBorder="1" applyAlignment="1">
      <alignment horizontal="center" vertical="center"/>
    </xf>
    <xf numFmtId="167" fontId="8" fillId="0" borderId="7" xfId="0" applyNumberFormat="1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13" fillId="0" borderId="0" xfId="0" applyFont="1"/>
    <xf numFmtId="166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43" fontId="13" fillId="2" borderId="0" xfId="0" applyNumberFormat="1" applyFont="1" applyFill="1" applyAlignment="1">
      <alignment horizontal="center" vertical="center"/>
    </xf>
    <xf numFmtId="43" fontId="12" fillId="2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7" fillId="0" borderId="0" xfId="0" applyFont="1"/>
    <xf numFmtId="0" fontId="9" fillId="0" borderId="18" xfId="0" applyFont="1" applyBorder="1" applyAlignment="1">
      <alignment horizontal="center" vertical="center"/>
    </xf>
    <xf numFmtId="0" fontId="0" fillId="0" borderId="7" xfId="0" applyBorder="1" applyAlignment="1">
      <alignment wrapText="1"/>
    </xf>
    <xf numFmtId="0" fontId="0" fillId="0" borderId="7" xfId="0" applyBorder="1"/>
    <xf numFmtId="0" fontId="0" fillId="4" borderId="7" xfId="0" applyFill="1" applyBorder="1"/>
    <xf numFmtId="0" fontId="16" fillId="0" borderId="7" xfId="0" applyFont="1" applyBorder="1"/>
    <xf numFmtId="0" fontId="10" fillId="4" borderId="0" xfId="0" applyFont="1" applyFill="1" applyAlignment="1">
      <alignment vertical="center" wrapText="1"/>
    </xf>
    <xf numFmtId="14" fontId="0" fillId="4" borderId="0" xfId="0" applyNumberFormat="1" applyFill="1"/>
    <xf numFmtId="0" fontId="0" fillId="4" borderId="0" xfId="0" applyFill="1"/>
    <xf numFmtId="0" fontId="0" fillId="0" borderId="7" xfId="0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169" fontId="8" fillId="0" borderId="0" xfId="7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14" fontId="8" fillId="0" borderId="7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170" fontId="8" fillId="0" borderId="21" xfId="0" applyNumberFormat="1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 wrapText="1"/>
    </xf>
    <xf numFmtId="170" fontId="11" fillId="0" borderId="21" xfId="0" applyNumberFormat="1" applyFont="1" applyBorder="1" applyAlignment="1">
      <alignment horizontal="center" vertical="center"/>
    </xf>
    <xf numFmtId="15" fontId="11" fillId="0" borderId="7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 wrapText="1"/>
    </xf>
    <xf numFmtId="167" fontId="8" fillId="0" borderId="7" xfId="7" applyNumberFormat="1" applyFont="1" applyFill="1" applyBorder="1" applyAlignment="1">
      <alignment horizontal="center" vertical="center"/>
    </xf>
    <xf numFmtId="0" fontId="23" fillId="0" borderId="7" xfId="0" applyFont="1" applyBorder="1" applyAlignment="1">
      <alignment horizontal="center" vertical="center" wrapText="1"/>
    </xf>
    <xf numFmtId="0" fontId="23" fillId="0" borderId="7" xfId="0" applyFont="1" applyBorder="1" applyAlignment="1">
      <alignment vertical="center" wrapText="1"/>
    </xf>
    <xf numFmtId="3" fontId="8" fillId="0" borderId="7" xfId="0" applyNumberFormat="1" applyFont="1" applyBorder="1" applyAlignment="1">
      <alignment horizontal="center" vertical="center"/>
    </xf>
    <xf numFmtId="1" fontId="25" fillId="0" borderId="7" xfId="0" applyNumberFormat="1" applyFont="1" applyBorder="1" applyAlignment="1">
      <alignment horizontal="left" vertical="center" wrapText="1"/>
    </xf>
    <xf numFmtId="0" fontId="5" fillId="0" borderId="23" xfId="0" applyFont="1" applyBorder="1"/>
    <xf numFmtId="0" fontId="5" fillId="0" borderId="0" xfId="0" applyFont="1" applyAlignment="1">
      <alignment horizontal="left" indent="1"/>
    </xf>
    <xf numFmtId="0" fontId="14" fillId="0" borderId="7" xfId="0" applyFont="1" applyBorder="1" applyAlignment="1">
      <alignment horizontal="left" vertical="center" indent="1"/>
    </xf>
    <xf numFmtId="0" fontId="14" fillId="0" borderId="7" xfId="0" applyFont="1" applyBorder="1" applyAlignment="1">
      <alignment horizontal="left" vertical="center" wrapText="1" indent="1"/>
    </xf>
    <xf numFmtId="1" fontId="15" fillId="0" borderId="7" xfId="0" applyNumberFormat="1" applyFont="1" applyBorder="1" applyAlignment="1">
      <alignment horizontal="left" vertical="center" wrapText="1" indent="1"/>
    </xf>
    <xf numFmtId="0" fontId="15" fillId="0" borderId="7" xfId="0" applyFont="1" applyBorder="1" applyAlignment="1">
      <alignment horizontal="left" vertical="center" wrapText="1" indent="1"/>
    </xf>
    <xf numFmtId="0" fontId="14" fillId="0" borderId="11" xfId="0" applyFont="1" applyBorder="1" applyAlignment="1">
      <alignment horizontal="left" vertical="center" wrapText="1" indent="1"/>
    </xf>
    <xf numFmtId="0" fontId="15" fillId="0" borderId="9" xfId="0" applyFont="1" applyBorder="1" applyAlignment="1">
      <alignment horizontal="left" vertical="center" wrapText="1" indent="1"/>
    </xf>
    <xf numFmtId="0" fontId="14" fillId="0" borderId="10" xfId="0" applyFont="1" applyBorder="1" applyAlignment="1">
      <alignment horizontal="left" vertical="center" indent="1"/>
    </xf>
    <xf numFmtId="0" fontId="14" fillId="0" borderId="8" xfId="0" applyFont="1" applyBorder="1" applyAlignment="1">
      <alignment horizontal="left" vertical="center" wrapText="1" indent="1"/>
    </xf>
    <xf numFmtId="0" fontId="5" fillId="0" borderId="0" xfId="0" applyFont="1" applyAlignment="1">
      <alignment horizontal="left" vertical="center" indent="1"/>
    </xf>
    <xf numFmtId="0" fontId="5" fillId="0" borderId="23" xfId="0" applyFont="1" applyBorder="1" applyAlignment="1">
      <alignment horizontal="left" indent="1"/>
    </xf>
    <xf numFmtId="0" fontId="5" fillId="0" borderId="24" xfId="0" applyFont="1" applyBorder="1" applyAlignment="1">
      <alignment horizontal="left" indent="1"/>
    </xf>
    <xf numFmtId="0" fontId="5" fillId="0" borderId="25" xfId="0" applyFont="1" applyBorder="1" applyAlignment="1">
      <alignment horizontal="left" vertical="center" indent="1"/>
    </xf>
    <xf numFmtId="0" fontId="4" fillId="0" borderId="27" xfId="0" applyFont="1" applyBorder="1" applyAlignment="1">
      <alignment horizontal="left" vertical="center" indent="1"/>
    </xf>
    <xf numFmtId="0" fontId="5" fillId="0" borderId="28" xfId="0" applyFont="1" applyBorder="1" applyAlignment="1">
      <alignment horizontal="left" indent="1"/>
    </xf>
    <xf numFmtId="0" fontId="5" fillId="0" borderId="9" xfId="0" applyFont="1" applyBorder="1" applyAlignment="1">
      <alignment horizontal="left" indent="1"/>
    </xf>
    <xf numFmtId="0" fontId="5" fillId="0" borderId="29" xfId="0" applyFont="1" applyBorder="1" applyAlignment="1">
      <alignment horizontal="left" vertical="center" indent="1"/>
    </xf>
    <xf numFmtId="0" fontId="14" fillId="0" borderId="7" xfId="5" applyFont="1" applyBorder="1" applyAlignment="1">
      <alignment horizontal="left" vertical="center" wrapText="1" indent="1"/>
    </xf>
    <xf numFmtId="49" fontId="14" fillId="0" borderId="7" xfId="0" applyNumberFormat="1" applyFont="1" applyBorder="1" applyAlignment="1">
      <alignment horizontal="left" vertical="center" wrapText="1" indent="1"/>
    </xf>
    <xf numFmtId="0" fontId="14" fillId="0" borderId="7" xfId="5" applyFont="1" applyBorder="1" applyAlignment="1">
      <alignment horizontal="left" vertical="center" indent="1"/>
    </xf>
    <xf numFmtId="1" fontId="25" fillId="0" borderId="7" xfId="0" applyNumberFormat="1" applyFont="1" applyBorder="1" applyAlignment="1">
      <alignment horizontal="left" vertical="center" wrapText="1" indent="1"/>
    </xf>
    <xf numFmtId="168" fontId="15" fillId="0" borderId="7" xfId="0" applyNumberFormat="1" applyFont="1" applyBorder="1" applyAlignment="1">
      <alignment horizontal="left" vertical="center" wrapText="1" indent="1"/>
    </xf>
    <xf numFmtId="168" fontId="14" fillId="0" borderId="7" xfId="0" applyNumberFormat="1" applyFont="1" applyBorder="1" applyAlignment="1">
      <alignment horizontal="left" vertical="center" wrapText="1" indent="1"/>
    </xf>
    <xf numFmtId="168" fontId="14" fillId="0" borderId="7" xfId="0" applyNumberFormat="1" applyFont="1" applyBorder="1" applyAlignment="1">
      <alignment horizontal="left" vertical="center" indent="1"/>
    </xf>
    <xf numFmtId="0" fontId="14" fillId="0" borderId="7" xfId="0" applyFont="1" applyBorder="1" applyAlignment="1">
      <alignment horizontal="left" vertical="top" wrapText="1" indent="1"/>
    </xf>
    <xf numFmtId="0" fontId="14" fillId="0" borderId="11" xfId="5" applyFont="1" applyBorder="1" applyAlignment="1">
      <alignment horizontal="left" vertical="center" wrapText="1" indent="1"/>
    </xf>
    <xf numFmtId="0" fontId="14" fillId="0" borderId="24" xfId="0" applyFont="1" applyBorder="1" applyAlignment="1">
      <alignment horizontal="left" vertical="center" wrapText="1" indent="1"/>
    </xf>
    <xf numFmtId="0" fontId="14" fillId="0" borderId="25" xfId="0" applyFont="1" applyBorder="1" applyAlignment="1">
      <alignment horizontal="left" vertical="center" wrapText="1" indent="1"/>
    </xf>
    <xf numFmtId="0" fontId="5" fillId="0" borderId="26" xfId="0" applyFont="1" applyBorder="1" applyAlignment="1">
      <alignment horizontal="left" indent="1"/>
    </xf>
    <xf numFmtId="0" fontId="5" fillId="0" borderId="27" xfId="0" applyFont="1" applyBorder="1" applyAlignment="1">
      <alignment horizontal="left" vertical="center" indent="1"/>
    </xf>
    <xf numFmtId="0" fontId="13" fillId="0" borderId="8" xfId="0" applyFont="1" applyBorder="1" applyAlignment="1">
      <alignment horizontal="left" indent="1"/>
    </xf>
    <xf numFmtId="0" fontId="15" fillId="0" borderId="11" xfId="0" applyFont="1" applyBorder="1" applyAlignment="1">
      <alignment horizontal="left" vertical="center" wrapText="1" indent="1"/>
    </xf>
    <xf numFmtId="14" fontId="14" fillId="0" borderId="11" xfId="0" applyNumberFormat="1" applyFont="1" applyBorder="1" applyAlignment="1">
      <alignment horizontal="left" vertical="center" indent="1"/>
    </xf>
    <xf numFmtId="0" fontId="15" fillId="0" borderId="23" xfId="0" applyFont="1" applyBorder="1" applyAlignment="1">
      <alignment horizontal="left" vertical="center" wrapText="1" indent="1"/>
    </xf>
    <xf numFmtId="0" fontId="14" fillId="0" borderId="28" xfId="5" applyFont="1" applyBorder="1" applyAlignment="1">
      <alignment horizontal="left" vertical="center" indent="4"/>
    </xf>
    <xf numFmtId="0" fontId="14" fillId="0" borderId="29" xfId="0" applyFont="1" applyBorder="1" applyAlignment="1">
      <alignment horizontal="left" vertical="center" wrapText="1" indent="1"/>
    </xf>
    <xf numFmtId="0" fontId="26" fillId="0" borderId="8" xfId="5" applyFont="1" applyBorder="1" applyAlignment="1">
      <alignment horizontal="left" vertical="center" indent="1"/>
    </xf>
    <xf numFmtId="0" fontId="27" fillId="0" borderId="8" xfId="0" applyFont="1" applyBorder="1" applyAlignment="1">
      <alignment horizontal="left" vertical="center" wrapText="1" indent="1"/>
    </xf>
    <xf numFmtId="0" fontId="26" fillId="0" borderId="8" xfId="0" applyFont="1" applyBorder="1" applyAlignment="1">
      <alignment horizontal="left" vertical="center" wrapText="1" indent="1"/>
    </xf>
    <xf numFmtId="0" fontId="17" fillId="0" borderId="24" xfId="0" applyFont="1" applyBorder="1" applyAlignment="1">
      <alignment horizontal="right"/>
    </xf>
    <xf numFmtId="17" fontId="17" fillId="0" borderId="24" xfId="0" applyNumberFormat="1" applyFont="1" applyBorder="1" applyAlignment="1">
      <alignment horizontal="left"/>
    </xf>
    <xf numFmtId="0" fontId="17" fillId="0" borderId="25" xfId="0" applyFont="1" applyBorder="1" applyAlignment="1">
      <alignment horizontal="left" vertical="center" indent="1"/>
    </xf>
    <xf numFmtId="1" fontId="15" fillId="0" borderId="11" xfId="0" applyNumberFormat="1" applyFont="1" applyBorder="1" applyAlignment="1">
      <alignment horizontal="left" vertical="center" wrapText="1" indent="1"/>
    </xf>
    <xf numFmtId="0" fontId="14" fillId="0" borderId="8" xfId="0" applyFont="1" applyBorder="1" applyAlignment="1">
      <alignment horizontal="left" vertical="center" indent="1"/>
    </xf>
    <xf numFmtId="14" fontId="14" fillId="0" borderId="8" xfId="0" applyNumberFormat="1" applyFont="1" applyBorder="1" applyAlignment="1">
      <alignment horizontal="left" vertical="center" wrapText="1" indent="1"/>
    </xf>
    <xf numFmtId="0" fontId="14" fillId="0" borderId="21" xfId="0" applyFont="1" applyBorder="1" applyAlignment="1">
      <alignment horizontal="left" vertical="center" indent="1"/>
    </xf>
    <xf numFmtId="0" fontId="14" fillId="0" borderId="22" xfId="0" applyFont="1" applyBorder="1" applyAlignment="1">
      <alignment horizontal="left" vertical="center" indent="1"/>
    </xf>
    <xf numFmtId="0" fontId="12" fillId="0" borderId="28" xfId="0" applyFont="1" applyBorder="1" applyAlignment="1">
      <alignment horizontal="left" indent="1"/>
    </xf>
    <xf numFmtId="0" fontId="13" fillId="0" borderId="9" xfId="0" applyFont="1" applyBorder="1" applyAlignment="1">
      <alignment horizontal="left" indent="1"/>
    </xf>
    <xf numFmtId="0" fontId="13" fillId="0" borderId="29" xfId="0" applyFont="1" applyBorder="1" applyAlignment="1">
      <alignment horizontal="left" vertical="center" indent="1"/>
    </xf>
    <xf numFmtId="0" fontId="28" fillId="0" borderId="7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 textRotation="90"/>
    </xf>
    <xf numFmtId="14" fontId="28" fillId="0" borderId="7" xfId="0" applyNumberFormat="1" applyFont="1" applyBorder="1" applyAlignment="1">
      <alignment horizontal="center" vertical="center" textRotation="90" wrapText="1"/>
    </xf>
    <xf numFmtId="167" fontId="28" fillId="3" borderId="7" xfId="7" applyNumberFormat="1" applyFont="1" applyFill="1" applyBorder="1" applyAlignment="1">
      <alignment horizontal="center" vertical="center"/>
    </xf>
    <xf numFmtId="0" fontId="29" fillId="0" borderId="7" xfId="0" applyFont="1" applyBorder="1" applyAlignment="1">
      <alignment vertical="center"/>
    </xf>
    <xf numFmtId="1" fontId="28" fillId="0" borderId="7" xfId="0" applyNumberFormat="1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 wrapText="1"/>
    </xf>
    <xf numFmtId="167" fontId="28" fillId="0" borderId="7" xfId="0" applyNumberFormat="1" applyFont="1" applyBorder="1" applyAlignment="1">
      <alignment horizontal="center" vertical="center"/>
    </xf>
    <xf numFmtId="1" fontId="30" fillId="0" borderId="7" xfId="0" applyNumberFormat="1" applyFont="1" applyBorder="1" applyAlignment="1">
      <alignment horizontal="center" vertical="center"/>
    </xf>
    <xf numFmtId="168" fontId="14" fillId="0" borderId="6" xfId="0" applyNumberFormat="1" applyFont="1" applyBorder="1" applyAlignment="1">
      <alignment horizontal="left" vertical="center" indent="1"/>
    </xf>
    <xf numFmtId="167" fontId="28" fillId="0" borderId="7" xfId="7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169" fontId="14" fillId="0" borderId="11" xfId="7" applyNumberFormat="1" applyFont="1" applyBorder="1" applyAlignment="1">
      <alignment horizontal="left" vertical="center" wrapText="1" indent="1"/>
    </xf>
    <xf numFmtId="0" fontId="31" fillId="0" borderId="7" xfId="0" applyFont="1" applyBorder="1"/>
    <xf numFmtId="0" fontId="22" fillId="0" borderId="7" xfId="0" applyFont="1" applyBorder="1" applyAlignment="1">
      <alignment horizontal="center" vertical="center" textRotation="90"/>
    </xf>
    <xf numFmtId="3" fontId="28" fillId="0" borderId="7" xfId="0" applyNumberFormat="1" applyFont="1" applyBorder="1" applyAlignment="1">
      <alignment horizontal="center" vertical="center"/>
    </xf>
    <xf numFmtId="0" fontId="11" fillId="0" borderId="7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center" vertical="center" wrapText="1"/>
    </xf>
    <xf numFmtId="14" fontId="11" fillId="0" borderId="7" xfId="0" applyNumberFormat="1" applyFont="1" applyBorder="1" applyAlignment="1">
      <alignment horizontal="center" vertical="center"/>
    </xf>
    <xf numFmtId="1" fontId="11" fillId="0" borderId="7" xfId="0" applyNumberFormat="1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14" fontId="8" fillId="0" borderId="7" xfId="0" applyNumberFormat="1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11" fillId="0" borderId="7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 textRotation="90"/>
    </xf>
    <xf numFmtId="0" fontId="10" fillId="0" borderId="0" xfId="0" applyFont="1" applyAlignment="1">
      <alignment vertical="center" wrapText="1"/>
    </xf>
    <xf numFmtId="0" fontId="0" fillId="0" borderId="0" xfId="0" applyAlignment="1">
      <alignment wrapText="1"/>
    </xf>
    <xf numFmtId="14" fontId="8" fillId="0" borderId="0" xfId="0" applyNumberFormat="1" applyFont="1" applyAlignment="1">
      <alignment horizontal="center" vertical="center" textRotation="90" wrapText="1"/>
    </xf>
    <xf numFmtId="0" fontId="0" fillId="0" borderId="0" xfId="0" applyAlignment="1">
      <alignment horizontal="center" vertical="center"/>
    </xf>
    <xf numFmtId="14" fontId="11" fillId="0" borderId="7" xfId="0" applyNumberFormat="1" applyFont="1" applyBorder="1" applyAlignment="1">
      <alignment horizontal="center" vertical="center" textRotation="90" wrapText="1"/>
    </xf>
    <xf numFmtId="0" fontId="11" fillId="4" borderId="7" xfId="0" applyFont="1" applyFill="1" applyBorder="1" applyAlignment="1">
      <alignment horizontal="center" vertical="center"/>
    </xf>
    <xf numFmtId="167" fontId="11" fillId="4" borderId="7" xfId="7" applyNumberFormat="1" applyFont="1" applyFill="1" applyBorder="1" applyAlignment="1">
      <alignment horizontal="center" vertical="center"/>
    </xf>
    <xf numFmtId="0" fontId="32" fillId="4" borderId="7" xfId="0" applyFont="1" applyFill="1" applyBorder="1" applyAlignment="1">
      <alignment vertical="center"/>
    </xf>
    <xf numFmtId="1" fontId="11" fillId="4" borderId="7" xfId="0" applyNumberFormat="1" applyFont="1" applyFill="1" applyBorder="1" applyAlignment="1">
      <alignment horizontal="center" vertical="center"/>
    </xf>
    <xf numFmtId="167" fontId="11" fillId="4" borderId="7" xfId="0" applyNumberFormat="1" applyFont="1" applyFill="1" applyBorder="1" applyAlignment="1">
      <alignment horizontal="center" vertical="center"/>
    </xf>
    <xf numFmtId="1" fontId="33" fillId="4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21" xfId="0" applyFont="1" applyBorder="1" applyAlignment="1">
      <alignment horizontal="left" vertical="center" wrapText="1"/>
    </xf>
    <xf numFmtId="15" fontId="11" fillId="0" borderId="7" xfId="0" applyNumberFormat="1" applyFont="1" applyBorder="1" applyAlignment="1">
      <alignment horizontal="left" vertical="center"/>
    </xf>
    <xf numFmtId="0" fontId="22" fillId="0" borderId="7" xfId="0" applyFont="1" applyBorder="1" applyAlignment="1">
      <alignment horizontal="left" vertical="center"/>
    </xf>
    <xf numFmtId="14" fontId="8" fillId="4" borderId="7" xfId="0" applyNumberFormat="1" applyFont="1" applyFill="1" applyBorder="1" applyAlignment="1">
      <alignment horizontal="center" vertical="center" textRotation="90" wrapText="1"/>
    </xf>
    <xf numFmtId="0" fontId="32" fillId="5" borderId="7" xfId="0" applyFont="1" applyFill="1" applyBorder="1" applyAlignment="1">
      <alignment horizontal="center" vertical="center"/>
    </xf>
    <xf numFmtId="0" fontId="32" fillId="0" borderId="0" xfId="0" applyFont="1" applyAlignment="1">
      <alignment wrapText="1"/>
    </xf>
    <xf numFmtId="0" fontId="32" fillId="0" borderId="7" xfId="0" applyFont="1" applyBorder="1" applyAlignment="1">
      <alignment horizontal="center" vertical="center"/>
    </xf>
    <xf numFmtId="0" fontId="34" fillId="5" borderId="7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7" fontId="8" fillId="0" borderId="19" xfId="0" applyNumberFormat="1" applyFont="1" applyBorder="1" applyAlignment="1">
      <alignment horizontal="center" vertical="center"/>
    </xf>
    <xf numFmtId="17" fontId="8" fillId="0" borderId="20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18" fillId="4" borderId="9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6" fillId="0" borderId="26" xfId="0" applyFont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18" fillId="4" borderId="7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</cellXfs>
  <cellStyles count="8">
    <cellStyle name="Comma" xfId="7" builtinId="3"/>
    <cellStyle name="Comma 2" xfId="2" xr:uid="{00000000-0005-0000-0000-000001000000}"/>
    <cellStyle name="Comma 2 2" xfId="3" xr:uid="{00000000-0005-0000-0000-000002000000}"/>
    <cellStyle name="Normal" xfId="0" builtinId="0"/>
    <cellStyle name="Normal 11" xfId="5" xr:uid="{00000000-0005-0000-0000-000004000000}"/>
    <cellStyle name="Normal 2" xfId="4" xr:uid="{00000000-0005-0000-0000-000005000000}"/>
    <cellStyle name="Normal 2 2" xfId="1" xr:uid="{00000000-0005-0000-0000-000006000000}"/>
    <cellStyle name="Normal 30" xfId="6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3147526</xdr:colOff>
      <xdr:row>3</xdr:row>
      <xdr:rowOff>66675</xdr:rowOff>
    </xdr:from>
    <xdr:ext cx="1587987" cy="363991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9001" y="7600950"/>
          <a:ext cx="1587987" cy="363991"/>
        </a:xfrm>
        <a:prstGeom prst="rect">
          <a:avLst/>
        </a:prstGeom>
      </xdr:spPr>
    </xdr:pic>
    <xdr:clientData/>
  </xdr:oneCellAnchor>
  <xdr:oneCellAnchor>
    <xdr:from>
      <xdr:col>3</xdr:col>
      <xdr:colOff>3147526</xdr:colOff>
      <xdr:row>3</xdr:row>
      <xdr:rowOff>66675</xdr:rowOff>
    </xdr:from>
    <xdr:ext cx="1587987" cy="363991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9001" y="7600950"/>
          <a:ext cx="1587987" cy="363991"/>
        </a:xfrm>
        <a:prstGeom prst="rect">
          <a:avLst/>
        </a:prstGeom>
      </xdr:spPr>
    </xdr:pic>
    <xdr:clientData/>
  </xdr:oneCellAnchor>
  <xdr:oneCellAnchor>
    <xdr:from>
      <xdr:col>4</xdr:col>
      <xdr:colOff>604351</xdr:colOff>
      <xdr:row>31</xdr:row>
      <xdr:rowOff>0</xdr:rowOff>
    </xdr:from>
    <xdr:ext cx="1587987" cy="363991"/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9076" y="32508825"/>
          <a:ext cx="1587987" cy="363991"/>
        </a:xfrm>
        <a:prstGeom prst="rect">
          <a:avLst/>
        </a:prstGeom>
      </xdr:spPr>
    </xdr:pic>
    <xdr:clientData/>
  </xdr:oneCellAnchor>
  <xdr:oneCellAnchor>
    <xdr:from>
      <xdr:col>4</xdr:col>
      <xdr:colOff>604351</xdr:colOff>
      <xdr:row>31</xdr:row>
      <xdr:rowOff>0</xdr:rowOff>
    </xdr:from>
    <xdr:ext cx="1587987" cy="363991"/>
    <xdr:pic>
      <xdr:nvPicPr>
        <xdr:cNvPr id="2" name="Picture 1">
          <a:extLst>
            <a:ext uri="{FF2B5EF4-FFF2-40B4-BE49-F238E27FC236}">
              <a16:creationId xmlns:a16="http://schemas.microsoft.com/office/drawing/2014/main" id="{4337796F-741E-45B8-969E-08AD0D930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5151" y="49726850"/>
          <a:ext cx="1587987" cy="363991"/>
        </a:xfrm>
        <a:prstGeom prst="rect">
          <a:avLst/>
        </a:prstGeom>
      </xdr:spPr>
    </xdr:pic>
    <xdr:clientData/>
  </xdr:oneCellAnchor>
  <xdr:oneCellAnchor>
    <xdr:from>
      <xdr:col>4</xdr:col>
      <xdr:colOff>604351</xdr:colOff>
      <xdr:row>31</xdr:row>
      <xdr:rowOff>0</xdr:rowOff>
    </xdr:from>
    <xdr:ext cx="1587987" cy="363991"/>
    <xdr:pic>
      <xdr:nvPicPr>
        <xdr:cNvPr id="4" name="Picture 3">
          <a:extLst>
            <a:ext uri="{FF2B5EF4-FFF2-40B4-BE49-F238E27FC236}">
              <a16:creationId xmlns:a16="http://schemas.microsoft.com/office/drawing/2014/main" id="{6E06D18D-3111-4447-9B4B-46C020715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82951" y="58458100"/>
          <a:ext cx="1587987" cy="363991"/>
        </a:xfrm>
        <a:prstGeom prst="rect">
          <a:avLst/>
        </a:prstGeom>
      </xdr:spPr>
    </xdr:pic>
    <xdr:clientData/>
  </xdr:oneCellAnchor>
  <xdr:oneCellAnchor>
    <xdr:from>
      <xdr:col>4</xdr:col>
      <xdr:colOff>604351</xdr:colOff>
      <xdr:row>31</xdr:row>
      <xdr:rowOff>0</xdr:rowOff>
    </xdr:from>
    <xdr:ext cx="1587987" cy="363991"/>
    <xdr:pic>
      <xdr:nvPicPr>
        <xdr:cNvPr id="7" name="Picture 6">
          <a:extLst>
            <a:ext uri="{FF2B5EF4-FFF2-40B4-BE49-F238E27FC236}">
              <a16:creationId xmlns:a16="http://schemas.microsoft.com/office/drawing/2014/main" id="{2F8010C1-C47E-4C71-829D-A6C4ACB7B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89301" y="71901050"/>
          <a:ext cx="1587987" cy="363991"/>
        </a:xfrm>
        <a:prstGeom prst="rect">
          <a:avLst/>
        </a:prstGeom>
      </xdr:spPr>
    </xdr:pic>
    <xdr:clientData/>
  </xdr:oneCellAnchor>
  <xdr:oneCellAnchor>
    <xdr:from>
      <xdr:col>4</xdr:col>
      <xdr:colOff>604351</xdr:colOff>
      <xdr:row>31</xdr:row>
      <xdr:rowOff>0</xdr:rowOff>
    </xdr:from>
    <xdr:ext cx="1587987" cy="363991"/>
    <xdr:pic>
      <xdr:nvPicPr>
        <xdr:cNvPr id="3" name="Picture 2">
          <a:extLst>
            <a:ext uri="{FF2B5EF4-FFF2-40B4-BE49-F238E27FC236}">
              <a16:creationId xmlns:a16="http://schemas.microsoft.com/office/drawing/2014/main" id="{78E7E83B-444F-4E94-8844-040A0D546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89301" y="56076850"/>
          <a:ext cx="1587987" cy="363991"/>
        </a:xfrm>
        <a:prstGeom prst="rect">
          <a:avLst/>
        </a:prstGeom>
      </xdr:spPr>
    </xdr:pic>
    <xdr:clientData/>
  </xdr:oneCellAnchor>
  <xdr:oneCellAnchor>
    <xdr:from>
      <xdr:col>4</xdr:col>
      <xdr:colOff>604351</xdr:colOff>
      <xdr:row>31</xdr:row>
      <xdr:rowOff>0</xdr:rowOff>
    </xdr:from>
    <xdr:ext cx="1587987" cy="363991"/>
    <xdr:pic>
      <xdr:nvPicPr>
        <xdr:cNvPr id="5" name="Picture 4">
          <a:extLst>
            <a:ext uri="{FF2B5EF4-FFF2-40B4-BE49-F238E27FC236}">
              <a16:creationId xmlns:a16="http://schemas.microsoft.com/office/drawing/2014/main" id="{451B1791-DC08-44F4-882C-76C79EEC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3410" y="62737626"/>
          <a:ext cx="1587987" cy="363991"/>
        </a:xfrm>
        <a:prstGeom prst="rect">
          <a:avLst/>
        </a:prstGeom>
      </xdr:spPr>
    </xdr:pic>
    <xdr:clientData/>
  </xdr:oneCellAnchor>
  <xdr:oneCellAnchor>
    <xdr:from>
      <xdr:col>4</xdr:col>
      <xdr:colOff>604351</xdr:colOff>
      <xdr:row>31</xdr:row>
      <xdr:rowOff>0</xdr:rowOff>
    </xdr:from>
    <xdr:ext cx="1587987" cy="363991"/>
    <xdr:pic>
      <xdr:nvPicPr>
        <xdr:cNvPr id="10" name="Picture 9">
          <a:extLst>
            <a:ext uri="{FF2B5EF4-FFF2-40B4-BE49-F238E27FC236}">
              <a16:creationId xmlns:a16="http://schemas.microsoft.com/office/drawing/2014/main" id="{EA055FAB-1206-44E0-A2C5-2BB27042B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0208" y="63299521"/>
          <a:ext cx="1587987" cy="363991"/>
        </a:xfrm>
        <a:prstGeom prst="rect">
          <a:avLst/>
        </a:prstGeom>
      </xdr:spPr>
    </xdr:pic>
    <xdr:clientData/>
  </xdr:oneCellAnchor>
  <xdr:oneCellAnchor>
    <xdr:from>
      <xdr:col>4</xdr:col>
      <xdr:colOff>604351</xdr:colOff>
      <xdr:row>31</xdr:row>
      <xdr:rowOff>0</xdr:rowOff>
    </xdr:from>
    <xdr:ext cx="1587987" cy="363991"/>
    <xdr:pic>
      <xdr:nvPicPr>
        <xdr:cNvPr id="11" name="Picture 10">
          <a:extLst>
            <a:ext uri="{FF2B5EF4-FFF2-40B4-BE49-F238E27FC236}">
              <a16:creationId xmlns:a16="http://schemas.microsoft.com/office/drawing/2014/main" id="{00D06E5C-4A74-4416-828A-7C3A3431E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0208" y="56468736"/>
          <a:ext cx="1587987" cy="363991"/>
        </a:xfrm>
        <a:prstGeom prst="rect">
          <a:avLst/>
        </a:prstGeom>
      </xdr:spPr>
    </xdr:pic>
    <xdr:clientData/>
  </xdr:oneCellAnchor>
  <xdr:oneCellAnchor>
    <xdr:from>
      <xdr:col>4</xdr:col>
      <xdr:colOff>604351</xdr:colOff>
      <xdr:row>31</xdr:row>
      <xdr:rowOff>0</xdr:rowOff>
    </xdr:from>
    <xdr:ext cx="1587987" cy="363991"/>
    <xdr:pic>
      <xdr:nvPicPr>
        <xdr:cNvPr id="6" name="Picture 5">
          <a:extLst>
            <a:ext uri="{FF2B5EF4-FFF2-40B4-BE49-F238E27FC236}">
              <a16:creationId xmlns:a16="http://schemas.microsoft.com/office/drawing/2014/main" id="{025EA9DA-14B6-43BB-BCF5-612EF21B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0208" y="57439379"/>
          <a:ext cx="1587987" cy="36399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51"/>
  <sheetViews>
    <sheetView tabSelected="1" zoomScale="70" zoomScaleNormal="70" workbookViewId="0">
      <pane xSplit="3" ySplit="10" topLeftCell="D28" activePane="bottomRight" state="frozen"/>
      <selection pane="topRight" activeCell="D1" sqref="D1"/>
      <selection pane="bottomLeft" activeCell="A11" sqref="A11"/>
      <selection pane="bottomRight" activeCell="V27" sqref="V27"/>
    </sheetView>
  </sheetViews>
  <sheetFormatPr defaultRowHeight="13.2" x14ac:dyDescent="0.3"/>
  <cols>
    <col min="1" max="1" width="8.44140625" style="2" customWidth="1"/>
    <col min="2" max="2" width="12.77734375" style="2" customWidth="1"/>
    <col min="3" max="3" width="15" style="2" bestFit="1" customWidth="1"/>
    <col min="4" max="4" width="10" style="2" customWidth="1"/>
    <col min="5" max="5" width="8.77734375" style="2" customWidth="1"/>
    <col min="6" max="7" width="7.21875" style="2" customWidth="1"/>
    <col min="8" max="8" width="10.21875" style="2" customWidth="1"/>
    <col min="9" max="9" width="5" style="2" bestFit="1" customWidth="1"/>
    <col min="10" max="10" width="13.44140625" style="2" customWidth="1"/>
    <col min="11" max="11" width="10.5546875" style="2" customWidth="1"/>
    <col min="12" max="12" width="10.21875" style="2" bestFit="1" customWidth="1"/>
    <col min="13" max="14" width="10.21875" style="2" customWidth="1"/>
    <col min="15" max="15" width="10.77734375" style="2" bestFit="1" customWidth="1"/>
    <col min="16" max="16" width="9.21875" style="2" bestFit="1"/>
    <col min="17" max="18" width="8.77734375" style="2" customWidth="1"/>
    <col min="19" max="19" width="10.21875" style="2" bestFit="1" customWidth="1"/>
    <col min="20" max="20" width="14" style="2" customWidth="1"/>
    <col min="21" max="21" width="16.77734375" style="2" bestFit="1" customWidth="1"/>
    <col min="22" max="22" width="8" style="2" bestFit="1" customWidth="1"/>
    <col min="23" max="23" width="9" style="2" bestFit="1" customWidth="1"/>
    <col min="24" max="24" width="9.77734375" style="2" customWidth="1"/>
    <col min="25" max="25" width="6.77734375" style="2" customWidth="1"/>
    <col min="26" max="26" width="8" style="2" customWidth="1"/>
    <col min="27" max="27" width="9.77734375" style="2" customWidth="1"/>
    <col min="28" max="28" width="7.5546875" style="2" customWidth="1"/>
    <col min="29" max="29" width="9.21875" style="2"/>
    <col min="30" max="30" width="9.21875" style="2" bestFit="1" customWidth="1"/>
    <col min="31" max="31" width="15.77734375" style="2" customWidth="1"/>
    <col min="32" max="33" width="9.77734375" style="2" customWidth="1"/>
    <col min="34" max="39" width="9.21875" style="2"/>
    <col min="40" max="40" width="19.44140625" style="2" customWidth="1"/>
    <col min="41" max="43" width="9.21875" style="2"/>
    <col min="44" max="45" width="14.5546875" style="2" bestFit="1" customWidth="1"/>
    <col min="46" max="259" width="9.21875" style="2"/>
    <col min="260" max="260" width="8.44140625" style="2" customWidth="1"/>
    <col min="261" max="261" width="12.77734375" style="2" customWidth="1"/>
    <col min="262" max="262" width="15" style="2" bestFit="1" customWidth="1"/>
    <col min="263" max="263" width="7.21875" style="2" customWidth="1"/>
    <col min="264" max="264" width="10.21875" style="2" customWidth="1"/>
    <col min="265" max="265" width="5" style="2" bestFit="1" customWidth="1"/>
    <col min="266" max="266" width="8.77734375" style="2" customWidth="1"/>
    <col min="267" max="267" width="10.5546875" style="2" customWidth="1"/>
    <col min="268" max="268" width="8.77734375" style="2" customWidth="1"/>
    <col min="269" max="270" width="10.21875" style="2" customWidth="1"/>
    <col min="271" max="271" width="10.77734375" style="2" bestFit="1" customWidth="1"/>
    <col min="272" max="272" width="9.21875" style="2" bestFit="1"/>
    <col min="273" max="274" width="8.77734375" style="2" customWidth="1"/>
    <col min="275" max="275" width="10.21875" style="2" bestFit="1" customWidth="1"/>
    <col min="276" max="276" width="14" style="2" customWidth="1"/>
    <col min="277" max="277" width="16.77734375" style="2" bestFit="1" customWidth="1"/>
    <col min="278" max="278" width="8" style="2" bestFit="1" customWidth="1"/>
    <col min="279" max="279" width="9" style="2" bestFit="1" customWidth="1"/>
    <col min="280" max="280" width="6.21875" style="2" customWidth="1"/>
    <col min="281" max="281" width="6.77734375" style="2" customWidth="1"/>
    <col min="282" max="282" width="8" style="2" customWidth="1"/>
    <col min="283" max="283" width="6" style="2" customWidth="1"/>
    <col min="284" max="284" width="7.5546875" style="2" customWidth="1"/>
    <col min="285" max="285" width="9.21875" style="2"/>
    <col min="286" max="286" width="9.21875" style="2" bestFit="1" customWidth="1"/>
    <col min="287" max="287" width="15.77734375" style="2" customWidth="1"/>
    <col min="288" max="289" width="9.77734375" style="2" customWidth="1"/>
    <col min="290" max="295" width="9.21875" style="2"/>
    <col min="296" max="296" width="9.77734375" style="2" bestFit="1" customWidth="1"/>
    <col min="297" max="515" width="9.21875" style="2"/>
    <col min="516" max="516" width="8.44140625" style="2" customWidth="1"/>
    <col min="517" max="517" width="12.77734375" style="2" customWidth="1"/>
    <col min="518" max="518" width="15" style="2" bestFit="1" customWidth="1"/>
    <col min="519" max="519" width="7.21875" style="2" customWidth="1"/>
    <col min="520" max="520" width="10.21875" style="2" customWidth="1"/>
    <col min="521" max="521" width="5" style="2" bestFit="1" customWidth="1"/>
    <col min="522" max="522" width="8.77734375" style="2" customWidth="1"/>
    <col min="523" max="523" width="10.5546875" style="2" customWidth="1"/>
    <col min="524" max="524" width="8.77734375" style="2" customWidth="1"/>
    <col min="525" max="526" width="10.21875" style="2" customWidth="1"/>
    <col min="527" max="527" width="10.77734375" style="2" bestFit="1" customWidth="1"/>
    <col min="528" max="528" width="9.21875" style="2" bestFit="1"/>
    <col min="529" max="530" width="8.77734375" style="2" customWidth="1"/>
    <col min="531" max="531" width="10.21875" style="2" bestFit="1" customWidth="1"/>
    <col min="532" max="532" width="14" style="2" customWidth="1"/>
    <col min="533" max="533" width="16.77734375" style="2" bestFit="1" customWidth="1"/>
    <col min="534" max="534" width="8" style="2" bestFit="1" customWidth="1"/>
    <col min="535" max="535" width="9" style="2" bestFit="1" customWidth="1"/>
    <col min="536" max="536" width="6.21875" style="2" customWidth="1"/>
    <col min="537" max="537" width="6.77734375" style="2" customWidth="1"/>
    <col min="538" max="538" width="8" style="2" customWidth="1"/>
    <col min="539" max="539" width="6" style="2" customWidth="1"/>
    <col min="540" max="540" width="7.5546875" style="2" customWidth="1"/>
    <col min="541" max="541" width="9.21875" style="2"/>
    <col min="542" max="542" width="9.21875" style="2" bestFit="1" customWidth="1"/>
    <col min="543" max="543" width="15.77734375" style="2" customWidth="1"/>
    <col min="544" max="545" width="9.77734375" style="2" customWidth="1"/>
    <col min="546" max="551" width="9.21875" style="2"/>
    <col min="552" max="552" width="9.77734375" style="2" bestFit="1" customWidth="1"/>
    <col min="553" max="771" width="9.21875" style="2"/>
    <col min="772" max="772" width="8.44140625" style="2" customWidth="1"/>
    <col min="773" max="773" width="12.77734375" style="2" customWidth="1"/>
    <col min="774" max="774" width="15" style="2" bestFit="1" customWidth="1"/>
    <col min="775" max="775" width="7.21875" style="2" customWidth="1"/>
    <col min="776" max="776" width="10.21875" style="2" customWidth="1"/>
    <col min="777" max="777" width="5" style="2" bestFit="1" customWidth="1"/>
    <col min="778" max="778" width="8.77734375" style="2" customWidth="1"/>
    <col min="779" max="779" width="10.5546875" style="2" customWidth="1"/>
    <col min="780" max="780" width="8.77734375" style="2" customWidth="1"/>
    <col min="781" max="782" width="10.21875" style="2" customWidth="1"/>
    <col min="783" max="783" width="10.77734375" style="2" bestFit="1" customWidth="1"/>
    <col min="784" max="784" width="9.21875" style="2" bestFit="1"/>
    <col min="785" max="786" width="8.77734375" style="2" customWidth="1"/>
    <col min="787" max="787" width="10.21875" style="2" bestFit="1" customWidth="1"/>
    <col min="788" max="788" width="14" style="2" customWidth="1"/>
    <col min="789" max="789" width="16.77734375" style="2" bestFit="1" customWidth="1"/>
    <col min="790" max="790" width="8" style="2" bestFit="1" customWidth="1"/>
    <col min="791" max="791" width="9" style="2" bestFit="1" customWidth="1"/>
    <col min="792" max="792" width="6.21875" style="2" customWidth="1"/>
    <col min="793" max="793" width="6.77734375" style="2" customWidth="1"/>
    <col min="794" max="794" width="8" style="2" customWidth="1"/>
    <col min="795" max="795" width="6" style="2" customWidth="1"/>
    <col min="796" max="796" width="7.5546875" style="2" customWidth="1"/>
    <col min="797" max="797" width="9.21875" style="2"/>
    <col min="798" max="798" width="9.21875" style="2" bestFit="1" customWidth="1"/>
    <col min="799" max="799" width="15.77734375" style="2" customWidth="1"/>
    <col min="800" max="801" width="9.77734375" style="2" customWidth="1"/>
    <col min="802" max="807" width="9.21875" style="2"/>
    <col min="808" max="808" width="9.77734375" style="2" bestFit="1" customWidth="1"/>
    <col min="809" max="1027" width="9.21875" style="2"/>
    <col min="1028" max="1028" width="8.44140625" style="2" customWidth="1"/>
    <col min="1029" max="1029" width="12.77734375" style="2" customWidth="1"/>
    <col min="1030" max="1030" width="15" style="2" bestFit="1" customWidth="1"/>
    <col min="1031" max="1031" width="7.21875" style="2" customWidth="1"/>
    <col min="1032" max="1032" width="10.21875" style="2" customWidth="1"/>
    <col min="1033" max="1033" width="5" style="2" bestFit="1" customWidth="1"/>
    <col min="1034" max="1034" width="8.77734375" style="2" customWidth="1"/>
    <col min="1035" max="1035" width="10.5546875" style="2" customWidth="1"/>
    <col min="1036" max="1036" width="8.77734375" style="2" customWidth="1"/>
    <col min="1037" max="1038" width="10.21875" style="2" customWidth="1"/>
    <col min="1039" max="1039" width="10.77734375" style="2" bestFit="1" customWidth="1"/>
    <col min="1040" max="1040" width="9.21875" style="2" bestFit="1"/>
    <col min="1041" max="1042" width="8.77734375" style="2" customWidth="1"/>
    <col min="1043" max="1043" width="10.21875" style="2" bestFit="1" customWidth="1"/>
    <col min="1044" max="1044" width="14" style="2" customWidth="1"/>
    <col min="1045" max="1045" width="16.77734375" style="2" bestFit="1" customWidth="1"/>
    <col min="1046" max="1046" width="8" style="2" bestFit="1" customWidth="1"/>
    <col min="1047" max="1047" width="9" style="2" bestFit="1" customWidth="1"/>
    <col min="1048" max="1048" width="6.21875" style="2" customWidth="1"/>
    <col min="1049" max="1049" width="6.77734375" style="2" customWidth="1"/>
    <col min="1050" max="1050" width="8" style="2" customWidth="1"/>
    <col min="1051" max="1051" width="6" style="2" customWidth="1"/>
    <col min="1052" max="1052" width="7.5546875" style="2" customWidth="1"/>
    <col min="1053" max="1053" width="9.21875" style="2"/>
    <col min="1054" max="1054" width="9.21875" style="2" bestFit="1" customWidth="1"/>
    <col min="1055" max="1055" width="15.77734375" style="2" customWidth="1"/>
    <col min="1056" max="1057" width="9.77734375" style="2" customWidth="1"/>
    <col min="1058" max="1063" width="9.21875" style="2"/>
    <col min="1064" max="1064" width="9.77734375" style="2" bestFit="1" customWidth="1"/>
    <col min="1065" max="1283" width="9.21875" style="2"/>
    <col min="1284" max="1284" width="8.44140625" style="2" customWidth="1"/>
    <col min="1285" max="1285" width="12.77734375" style="2" customWidth="1"/>
    <col min="1286" max="1286" width="15" style="2" bestFit="1" customWidth="1"/>
    <col min="1287" max="1287" width="7.21875" style="2" customWidth="1"/>
    <col min="1288" max="1288" width="10.21875" style="2" customWidth="1"/>
    <col min="1289" max="1289" width="5" style="2" bestFit="1" customWidth="1"/>
    <col min="1290" max="1290" width="8.77734375" style="2" customWidth="1"/>
    <col min="1291" max="1291" width="10.5546875" style="2" customWidth="1"/>
    <col min="1292" max="1292" width="8.77734375" style="2" customWidth="1"/>
    <col min="1293" max="1294" width="10.21875" style="2" customWidth="1"/>
    <col min="1295" max="1295" width="10.77734375" style="2" bestFit="1" customWidth="1"/>
    <col min="1296" max="1296" width="9.21875" style="2" bestFit="1"/>
    <col min="1297" max="1298" width="8.77734375" style="2" customWidth="1"/>
    <col min="1299" max="1299" width="10.21875" style="2" bestFit="1" customWidth="1"/>
    <col min="1300" max="1300" width="14" style="2" customWidth="1"/>
    <col min="1301" max="1301" width="16.77734375" style="2" bestFit="1" customWidth="1"/>
    <col min="1302" max="1302" width="8" style="2" bestFit="1" customWidth="1"/>
    <col min="1303" max="1303" width="9" style="2" bestFit="1" customWidth="1"/>
    <col min="1304" max="1304" width="6.21875" style="2" customWidth="1"/>
    <col min="1305" max="1305" width="6.77734375" style="2" customWidth="1"/>
    <col min="1306" max="1306" width="8" style="2" customWidth="1"/>
    <col min="1307" max="1307" width="6" style="2" customWidth="1"/>
    <col min="1308" max="1308" width="7.5546875" style="2" customWidth="1"/>
    <col min="1309" max="1309" width="9.21875" style="2"/>
    <col min="1310" max="1310" width="9.21875" style="2" bestFit="1" customWidth="1"/>
    <col min="1311" max="1311" width="15.77734375" style="2" customWidth="1"/>
    <col min="1312" max="1313" width="9.77734375" style="2" customWidth="1"/>
    <col min="1314" max="1319" width="9.21875" style="2"/>
    <col min="1320" max="1320" width="9.77734375" style="2" bestFit="1" customWidth="1"/>
    <col min="1321" max="1539" width="9.21875" style="2"/>
    <col min="1540" max="1540" width="8.44140625" style="2" customWidth="1"/>
    <col min="1541" max="1541" width="12.77734375" style="2" customWidth="1"/>
    <col min="1542" max="1542" width="15" style="2" bestFit="1" customWidth="1"/>
    <col min="1543" max="1543" width="7.21875" style="2" customWidth="1"/>
    <col min="1544" max="1544" width="10.21875" style="2" customWidth="1"/>
    <col min="1545" max="1545" width="5" style="2" bestFit="1" customWidth="1"/>
    <col min="1546" max="1546" width="8.77734375" style="2" customWidth="1"/>
    <col min="1547" max="1547" width="10.5546875" style="2" customWidth="1"/>
    <col min="1548" max="1548" width="8.77734375" style="2" customWidth="1"/>
    <col min="1549" max="1550" width="10.21875" style="2" customWidth="1"/>
    <col min="1551" max="1551" width="10.77734375" style="2" bestFit="1" customWidth="1"/>
    <col min="1552" max="1552" width="9.21875" style="2" bestFit="1"/>
    <col min="1553" max="1554" width="8.77734375" style="2" customWidth="1"/>
    <col min="1555" max="1555" width="10.21875" style="2" bestFit="1" customWidth="1"/>
    <col min="1556" max="1556" width="14" style="2" customWidth="1"/>
    <col min="1557" max="1557" width="16.77734375" style="2" bestFit="1" customWidth="1"/>
    <col min="1558" max="1558" width="8" style="2" bestFit="1" customWidth="1"/>
    <col min="1559" max="1559" width="9" style="2" bestFit="1" customWidth="1"/>
    <col min="1560" max="1560" width="6.21875" style="2" customWidth="1"/>
    <col min="1561" max="1561" width="6.77734375" style="2" customWidth="1"/>
    <col min="1562" max="1562" width="8" style="2" customWidth="1"/>
    <col min="1563" max="1563" width="6" style="2" customWidth="1"/>
    <col min="1564" max="1564" width="7.5546875" style="2" customWidth="1"/>
    <col min="1565" max="1565" width="9.21875" style="2"/>
    <col min="1566" max="1566" width="9.21875" style="2" bestFit="1" customWidth="1"/>
    <col min="1567" max="1567" width="15.77734375" style="2" customWidth="1"/>
    <col min="1568" max="1569" width="9.77734375" style="2" customWidth="1"/>
    <col min="1570" max="1575" width="9.21875" style="2"/>
    <col min="1576" max="1576" width="9.77734375" style="2" bestFit="1" customWidth="1"/>
    <col min="1577" max="1795" width="9.21875" style="2"/>
    <col min="1796" max="1796" width="8.44140625" style="2" customWidth="1"/>
    <col min="1797" max="1797" width="12.77734375" style="2" customWidth="1"/>
    <col min="1798" max="1798" width="15" style="2" bestFit="1" customWidth="1"/>
    <col min="1799" max="1799" width="7.21875" style="2" customWidth="1"/>
    <col min="1800" max="1800" width="10.21875" style="2" customWidth="1"/>
    <col min="1801" max="1801" width="5" style="2" bestFit="1" customWidth="1"/>
    <col min="1802" max="1802" width="8.77734375" style="2" customWidth="1"/>
    <col min="1803" max="1803" width="10.5546875" style="2" customWidth="1"/>
    <col min="1804" max="1804" width="8.77734375" style="2" customWidth="1"/>
    <col min="1805" max="1806" width="10.21875" style="2" customWidth="1"/>
    <col min="1807" max="1807" width="10.77734375" style="2" bestFit="1" customWidth="1"/>
    <col min="1808" max="1808" width="9.21875" style="2" bestFit="1"/>
    <col min="1809" max="1810" width="8.77734375" style="2" customWidth="1"/>
    <col min="1811" max="1811" width="10.21875" style="2" bestFit="1" customWidth="1"/>
    <col min="1812" max="1812" width="14" style="2" customWidth="1"/>
    <col min="1813" max="1813" width="16.77734375" style="2" bestFit="1" customWidth="1"/>
    <col min="1814" max="1814" width="8" style="2" bestFit="1" customWidth="1"/>
    <col min="1815" max="1815" width="9" style="2" bestFit="1" customWidth="1"/>
    <col min="1816" max="1816" width="6.21875" style="2" customWidth="1"/>
    <col min="1817" max="1817" width="6.77734375" style="2" customWidth="1"/>
    <col min="1818" max="1818" width="8" style="2" customWidth="1"/>
    <col min="1819" max="1819" width="6" style="2" customWidth="1"/>
    <col min="1820" max="1820" width="7.5546875" style="2" customWidth="1"/>
    <col min="1821" max="1821" width="9.21875" style="2"/>
    <col min="1822" max="1822" width="9.21875" style="2" bestFit="1" customWidth="1"/>
    <col min="1823" max="1823" width="15.77734375" style="2" customWidth="1"/>
    <col min="1824" max="1825" width="9.77734375" style="2" customWidth="1"/>
    <col min="1826" max="1831" width="9.21875" style="2"/>
    <col min="1832" max="1832" width="9.77734375" style="2" bestFit="1" customWidth="1"/>
    <col min="1833" max="2051" width="9.21875" style="2"/>
    <col min="2052" max="2052" width="8.44140625" style="2" customWidth="1"/>
    <col min="2053" max="2053" width="12.77734375" style="2" customWidth="1"/>
    <col min="2054" max="2054" width="15" style="2" bestFit="1" customWidth="1"/>
    <col min="2055" max="2055" width="7.21875" style="2" customWidth="1"/>
    <col min="2056" max="2056" width="10.21875" style="2" customWidth="1"/>
    <col min="2057" max="2057" width="5" style="2" bestFit="1" customWidth="1"/>
    <col min="2058" max="2058" width="8.77734375" style="2" customWidth="1"/>
    <col min="2059" max="2059" width="10.5546875" style="2" customWidth="1"/>
    <col min="2060" max="2060" width="8.77734375" style="2" customWidth="1"/>
    <col min="2061" max="2062" width="10.21875" style="2" customWidth="1"/>
    <col min="2063" max="2063" width="10.77734375" style="2" bestFit="1" customWidth="1"/>
    <col min="2064" max="2064" width="9.21875" style="2" bestFit="1"/>
    <col min="2065" max="2066" width="8.77734375" style="2" customWidth="1"/>
    <col min="2067" max="2067" width="10.21875" style="2" bestFit="1" customWidth="1"/>
    <col min="2068" max="2068" width="14" style="2" customWidth="1"/>
    <col min="2069" max="2069" width="16.77734375" style="2" bestFit="1" customWidth="1"/>
    <col min="2070" max="2070" width="8" style="2" bestFit="1" customWidth="1"/>
    <col min="2071" max="2071" width="9" style="2" bestFit="1" customWidth="1"/>
    <col min="2072" max="2072" width="6.21875" style="2" customWidth="1"/>
    <col min="2073" max="2073" width="6.77734375" style="2" customWidth="1"/>
    <col min="2074" max="2074" width="8" style="2" customWidth="1"/>
    <col min="2075" max="2075" width="6" style="2" customWidth="1"/>
    <col min="2076" max="2076" width="7.5546875" style="2" customWidth="1"/>
    <col min="2077" max="2077" width="9.21875" style="2"/>
    <col min="2078" max="2078" width="9.21875" style="2" bestFit="1" customWidth="1"/>
    <col min="2079" max="2079" width="15.77734375" style="2" customWidth="1"/>
    <col min="2080" max="2081" width="9.77734375" style="2" customWidth="1"/>
    <col min="2082" max="2087" width="9.21875" style="2"/>
    <col min="2088" max="2088" width="9.77734375" style="2" bestFit="1" customWidth="1"/>
    <col min="2089" max="2307" width="9.21875" style="2"/>
    <col min="2308" max="2308" width="8.44140625" style="2" customWidth="1"/>
    <col min="2309" max="2309" width="12.77734375" style="2" customWidth="1"/>
    <col min="2310" max="2310" width="15" style="2" bestFit="1" customWidth="1"/>
    <col min="2311" max="2311" width="7.21875" style="2" customWidth="1"/>
    <col min="2312" max="2312" width="10.21875" style="2" customWidth="1"/>
    <col min="2313" max="2313" width="5" style="2" bestFit="1" customWidth="1"/>
    <col min="2314" max="2314" width="8.77734375" style="2" customWidth="1"/>
    <col min="2315" max="2315" width="10.5546875" style="2" customWidth="1"/>
    <col min="2316" max="2316" width="8.77734375" style="2" customWidth="1"/>
    <col min="2317" max="2318" width="10.21875" style="2" customWidth="1"/>
    <col min="2319" max="2319" width="10.77734375" style="2" bestFit="1" customWidth="1"/>
    <col min="2320" max="2320" width="9.21875" style="2" bestFit="1"/>
    <col min="2321" max="2322" width="8.77734375" style="2" customWidth="1"/>
    <col min="2323" max="2323" width="10.21875" style="2" bestFit="1" customWidth="1"/>
    <col min="2324" max="2324" width="14" style="2" customWidth="1"/>
    <col min="2325" max="2325" width="16.77734375" style="2" bestFit="1" customWidth="1"/>
    <col min="2326" max="2326" width="8" style="2" bestFit="1" customWidth="1"/>
    <col min="2327" max="2327" width="9" style="2" bestFit="1" customWidth="1"/>
    <col min="2328" max="2328" width="6.21875" style="2" customWidth="1"/>
    <col min="2329" max="2329" width="6.77734375" style="2" customWidth="1"/>
    <col min="2330" max="2330" width="8" style="2" customWidth="1"/>
    <col min="2331" max="2331" width="6" style="2" customWidth="1"/>
    <col min="2332" max="2332" width="7.5546875" style="2" customWidth="1"/>
    <col min="2333" max="2333" width="9.21875" style="2"/>
    <col min="2334" max="2334" width="9.21875" style="2" bestFit="1" customWidth="1"/>
    <col min="2335" max="2335" width="15.77734375" style="2" customWidth="1"/>
    <col min="2336" max="2337" width="9.77734375" style="2" customWidth="1"/>
    <col min="2338" max="2343" width="9.21875" style="2"/>
    <col min="2344" max="2344" width="9.77734375" style="2" bestFit="1" customWidth="1"/>
    <col min="2345" max="2563" width="9.21875" style="2"/>
    <col min="2564" max="2564" width="8.44140625" style="2" customWidth="1"/>
    <col min="2565" max="2565" width="12.77734375" style="2" customWidth="1"/>
    <col min="2566" max="2566" width="15" style="2" bestFit="1" customWidth="1"/>
    <col min="2567" max="2567" width="7.21875" style="2" customWidth="1"/>
    <col min="2568" max="2568" width="10.21875" style="2" customWidth="1"/>
    <col min="2569" max="2569" width="5" style="2" bestFit="1" customWidth="1"/>
    <col min="2570" max="2570" width="8.77734375" style="2" customWidth="1"/>
    <col min="2571" max="2571" width="10.5546875" style="2" customWidth="1"/>
    <col min="2572" max="2572" width="8.77734375" style="2" customWidth="1"/>
    <col min="2573" max="2574" width="10.21875" style="2" customWidth="1"/>
    <col min="2575" max="2575" width="10.77734375" style="2" bestFit="1" customWidth="1"/>
    <col min="2576" max="2576" width="9.21875" style="2" bestFit="1"/>
    <col min="2577" max="2578" width="8.77734375" style="2" customWidth="1"/>
    <col min="2579" max="2579" width="10.21875" style="2" bestFit="1" customWidth="1"/>
    <col min="2580" max="2580" width="14" style="2" customWidth="1"/>
    <col min="2581" max="2581" width="16.77734375" style="2" bestFit="1" customWidth="1"/>
    <col min="2582" max="2582" width="8" style="2" bestFit="1" customWidth="1"/>
    <col min="2583" max="2583" width="9" style="2" bestFit="1" customWidth="1"/>
    <col min="2584" max="2584" width="6.21875" style="2" customWidth="1"/>
    <col min="2585" max="2585" width="6.77734375" style="2" customWidth="1"/>
    <col min="2586" max="2586" width="8" style="2" customWidth="1"/>
    <col min="2587" max="2587" width="6" style="2" customWidth="1"/>
    <col min="2588" max="2588" width="7.5546875" style="2" customWidth="1"/>
    <col min="2589" max="2589" width="9.21875" style="2"/>
    <col min="2590" max="2590" width="9.21875" style="2" bestFit="1" customWidth="1"/>
    <col min="2591" max="2591" width="15.77734375" style="2" customWidth="1"/>
    <col min="2592" max="2593" width="9.77734375" style="2" customWidth="1"/>
    <col min="2594" max="2599" width="9.21875" style="2"/>
    <col min="2600" max="2600" width="9.77734375" style="2" bestFit="1" customWidth="1"/>
    <col min="2601" max="2819" width="9.21875" style="2"/>
    <col min="2820" max="2820" width="8.44140625" style="2" customWidth="1"/>
    <col min="2821" max="2821" width="12.77734375" style="2" customWidth="1"/>
    <col min="2822" max="2822" width="15" style="2" bestFit="1" customWidth="1"/>
    <col min="2823" max="2823" width="7.21875" style="2" customWidth="1"/>
    <col min="2824" max="2824" width="10.21875" style="2" customWidth="1"/>
    <col min="2825" max="2825" width="5" style="2" bestFit="1" customWidth="1"/>
    <col min="2826" max="2826" width="8.77734375" style="2" customWidth="1"/>
    <col min="2827" max="2827" width="10.5546875" style="2" customWidth="1"/>
    <col min="2828" max="2828" width="8.77734375" style="2" customWidth="1"/>
    <col min="2829" max="2830" width="10.21875" style="2" customWidth="1"/>
    <col min="2831" max="2831" width="10.77734375" style="2" bestFit="1" customWidth="1"/>
    <col min="2832" max="2832" width="9.21875" style="2" bestFit="1"/>
    <col min="2833" max="2834" width="8.77734375" style="2" customWidth="1"/>
    <col min="2835" max="2835" width="10.21875" style="2" bestFit="1" customWidth="1"/>
    <col min="2836" max="2836" width="14" style="2" customWidth="1"/>
    <col min="2837" max="2837" width="16.77734375" style="2" bestFit="1" customWidth="1"/>
    <col min="2838" max="2838" width="8" style="2" bestFit="1" customWidth="1"/>
    <col min="2839" max="2839" width="9" style="2" bestFit="1" customWidth="1"/>
    <col min="2840" max="2840" width="6.21875" style="2" customWidth="1"/>
    <col min="2841" max="2841" width="6.77734375" style="2" customWidth="1"/>
    <col min="2842" max="2842" width="8" style="2" customWidth="1"/>
    <col min="2843" max="2843" width="6" style="2" customWidth="1"/>
    <col min="2844" max="2844" width="7.5546875" style="2" customWidth="1"/>
    <col min="2845" max="2845" width="9.21875" style="2"/>
    <col min="2846" max="2846" width="9.21875" style="2" bestFit="1" customWidth="1"/>
    <col min="2847" max="2847" width="15.77734375" style="2" customWidth="1"/>
    <col min="2848" max="2849" width="9.77734375" style="2" customWidth="1"/>
    <col min="2850" max="2855" width="9.21875" style="2"/>
    <col min="2856" max="2856" width="9.77734375" style="2" bestFit="1" customWidth="1"/>
    <col min="2857" max="3075" width="9.21875" style="2"/>
    <col min="3076" max="3076" width="8.44140625" style="2" customWidth="1"/>
    <col min="3077" max="3077" width="12.77734375" style="2" customWidth="1"/>
    <col min="3078" max="3078" width="15" style="2" bestFit="1" customWidth="1"/>
    <col min="3079" max="3079" width="7.21875" style="2" customWidth="1"/>
    <col min="3080" max="3080" width="10.21875" style="2" customWidth="1"/>
    <col min="3081" max="3081" width="5" style="2" bestFit="1" customWidth="1"/>
    <col min="3082" max="3082" width="8.77734375" style="2" customWidth="1"/>
    <col min="3083" max="3083" width="10.5546875" style="2" customWidth="1"/>
    <col min="3084" max="3084" width="8.77734375" style="2" customWidth="1"/>
    <col min="3085" max="3086" width="10.21875" style="2" customWidth="1"/>
    <col min="3087" max="3087" width="10.77734375" style="2" bestFit="1" customWidth="1"/>
    <col min="3088" max="3088" width="9.21875" style="2" bestFit="1"/>
    <col min="3089" max="3090" width="8.77734375" style="2" customWidth="1"/>
    <col min="3091" max="3091" width="10.21875" style="2" bestFit="1" customWidth="1"/>
    <col min="3092" max="3092" width="14" style="2" customWidth="1"/>
    <col min="3093" max="3093" width="16.77734375" style="2" bestFit="1" customWidth="1"/>
    <col min="3094" max="3094" width="8" style="2" bestFit="1" customWidth="1"/>
    <col min="3095" max="3095" width="9" style="2" bestFit="1" customWidth="1"/>
    <col min="3096" max="3096" width="6.21875" style="2" customWidth="1"/>
    <col min="3097" max="3097" width="6.77734375" style="2" customWidth="1"/>
    <col min="3098" max="3098" width="8" style="2" customWidth="1"/>
    <col min="3099" max="3099" width="6" style="2" customWidth="1"/>
    <col min="3100" max="3100" width="7.5546875" style="2" customWidth="1"/>
    <col min="3101" max="3101" width="9.21875" style="2"/>
    <col min="3102" max="3102" width="9.21875" style="2" bestFit="1" customWidth="1"/>
    <col min="3103" max="3103" width="15.77734375" style="2" customWidth="1"/>
    <col min="3104" max="3105" width="9.77734375" style="2" customWidth="1"/>
    <col min="3106" max="3111" width="9.21875" style="2"/>
    <col min="3112" max="3112" width="9.77734375" style="2" bestFit="1" customWidth="1"/>
    <col min="3113" max="3331" width="9.21875" style="2"/>
    <col min="3332" max="3332" width="8.44140625" style="2" customWidth="1"/>
    <col min="3333" max="3333" width="12.77734375" style="2" customWidth="1"/>
    <col min="3334" max="3334" width="15" style="2" bestFit="1" customWidth="1"/>
    <col min="3335" max="3335" width="7.21875" style="2" customWidth="1"/>
    <col min="3336" max="3336" width="10.21875" style="2" customWidth="1"/>
    <col min="3337" max="3337" width="5" style="2" bestFit="1" customWidth="1"/>
    <col min="3338" max="3338" width="8.77734375" style="2" customWidth="1"/>
    <col min="3339" max="3339" width="10.5546875" style="2" customWidth="1"/>
    <col min="3340" max="3340" width="8.77734375" style="2" customWidth="1"/>
    <col min="3341" max="3342" width="10.21875" style="2" customWidth="1"/>
    <col min="3343" max="3343" width="10.77734375" style="2" bestFit="1" customWidth="1"/>
    <col min="3344" max="3344" width="9.21875" style="2" bestFit="1"/>
    <col min="3345" max="3346" width="8.77734375" style="2" customWidth="1"/>
    <col min="3347" max="3347" width="10.21875" style="2" bestFit="1" customWidth="1"/>
    <col min="3348" max="3348" width="14" style="2" customWidth="1"/>
    <col min="3349" max="3349" width="16.77734375" style="2" bestFit="1" customWidth="1"/>
    <col min="3350" max="3350" width="8" style="2" bestFit="1" customWidth="1"/>
    <col min="3351" max="3351" width="9" style="2" bestFit="1" customWidth="1"/>
    <col min="3352" max="3352" width="6.21875" style="2" customWidth="1"/>
    <col min="3353" max="3353" width="6.77734375" style="2" customWidth="1"/>
    <col min="3354" max="3354" width="8" style="2" customWidth="1"/>
    <col min="3355" max="3355" width="6" style="2" customWidth="1"/>
    <col min="3356" max="3356" width="7.5546875" style="2" customWidth="1"/>
    <col min="3357" max="3357" width="9.21875" style="2"/>
    <col min="3358" max="3358" width="9.21875" style="2" bestFit="1" customWidth="1"/>
    <col min="3359" max="3359" width="15.77734375" style="2" customWidth="1"/>
    <col min="3360" max="3361" width="9.77734375" style="2" customWidth="1"/>
    <col min="3362" max="3367" width="9.21875" style="2"/>
    <col min="3368" max="3368" width="9.77734375" style="2" bestFit="1" customWidth="1"/>
    <col min="3369" max="3587" width="9.21875" style="2"/>
    <col min="3588" max="3588" width="8.44140625" style="2" customWidth="1"/>
    <col min="3589" max="3589" width="12.77734375" style="2" customWidth="1"/>
    <col min="3590" max="3590" width="15" style="2" bestFit="1" customWidth="1"/>
    <col min="3591" max="3591" width="7.21875" style="2" customWidth="1"/>
    <col min="3592" max="3592" width="10.21875" style="2" customWidth="1"/>
    <col min="3593" max="3593" width="5" style="2" bestFit="1" customWidth="1"/>
    <col min="3594" max="3594" width="8.77734375" style="2" customWidth="1"/>
    <col min="3595" max="3595" width="10.5546875" style="2" customWidth="1"/>
    <col min="3596" max="3596" width="8.77734375" style="2" customWidth="1"/>
    <col min="3597" max="3598" width="10.21875" style="2" customWidth="1"/>
    <col min="3599" max="3599" width="10.77734375" style="2" bestFit="1" customWidth="1"/>
    <col min="3600" max="3600" width="9.21875" style="2" bestFit="1"/>
    <col min="3601" max="3602" width="8.77734375" style="2" customWidth="1"/>
    <col min="3603" max="3603" width="10.21875" style="2" bestFit="1" customWidth="1"/>
    <col min="3604" max="3604" width="14" style="2" customWidth="1"/>
    <col min="3605" max="3605" width="16.77734375" style="2" bestFit="1" customWidth="1"/>
    <col min="3606" max="3606" width="8" style="2" bestFit="1" customWidth="1"/>
    <col min="3607" max="3607" width="9" style="2" bestFit="1" customWidth="1"/>
    <col min="3608" max="3608" width="6.21875" style="2" customWidth="1"/>
    <col min="3609" max="3609" width="6.77734375" style="2" customWidth="1"/>
    <col min="3610" max="3610" width="8" style="2" customWidth="1"/>
    <col min="3611" max="3611" width="6" style="2" customWidth="1"/>
    <col min="3612" max="3612" width="7.5546875" style="2" customWidth="1"/>
    <col min="3613" max="3613" width="9.21875" style="2"/>
    <col min="3614" max="3614" width="9.21875" style="2" bestFit="1" customWidth="1"/>
    <col min="3615" max="3615" width="15.77734375" style="2" customWidth="1"/>
    <col min="3616" max="3617" width="9.77734375" style="2" customWidth="1"/>
    <col min="3618" max="3623" width="9.21875" style="2"/>
    <col min="3624" max="3624" width="9.77734375" style="2" bestFit="1" customWidth="1"/>
    <col min="3625" max="3843" width="9.21875" style="2"/>
    <col min="3844" max="3844" width="8.44140625" style="2" customWidth="1"/>
    <col min="3845" max="3845" width="12.77734375" style="2" customWidth="1"/>
    <col min="3846" max="3846" width="15" style="2" bestFit="1" customWidth="1"/>
    <col min="3847" max="3847" width="7.21875" style="2" customWidth="1"/>
    <col min="3848" max="3848" width="10.21875" style="2" customWidth="1"/>
    <col min="3849" max="3849" width="5" style="2" bestFit="1" customWidth="1"/>
    <col min="3850" max="3850" width="8.77734375" style="2" customWidth="1"/>
    <col min="3851" max="3851" width="10.5546875" style="2" customWidth="1"/>
    <col min="3852" max="3852" width="8.77734375" style="2" customWidth="1"/>
    <col min="3853" max="3854" width="10.21875" style="2" customWidth="1"/>
    <col min="3855" max="3855" width="10.77734375" style="2" bestFit="1" customWidth="1"/>
    <col min="3856" max="3856" width="9.21875" style="2" bestFit="1"/>
    <col min="3857" max="3858" width="8.77734375" style="2" customWidth="1"/>
    <col min="3859" max="3859" width="10.21875" style="2" bestFit="1" customWidth="1"/>
    <col min="3860" max="3860" width="14" style="2" customWidth="1"/>
    <col min="3861" max="3861" width="16.77734375" style="2" bestFit="1" customWidth="1"/>
    <col min="3862" max="3862" width="8" style="2" bestFit="1" customWidth="1"/>
    <col min="3863" max="3863" width="9" style="2" bestFit="1" customWidth="1"/>
    <col min="3864" max="3864" width="6.21875" style="2" customWidth="1"/>
    <col min="3865" max="3865" width="6.77734375" style="2" customWidth="1"/>
    <col min="3866" max="3866" width="8" style="2" customWidth="1"/>
    <col min="3867" max="3867" width="6" style="2" customWidth="1"/>
    <col min="3868" max="3868" width="7.5546875" style="2" customWidth="1"/>
    <col min="3869" max="3869" width="9.21875" style="2"/>
    <col min="3870" max="3870" width="9.21875" style="2" bestFit="1" customWidth="1"/>
    <col min="3871" max="3871" width="15.77734375" style="2" customWidth="1"/>
    <col min="3872" max="3873" width="9.77734375" style="2" customWidth="1"/>
    <col min="3874" max="3879" width="9.21875" style="2"/>
    <col min="3880" max="3880" width="9.77734375" style="2" bestFit="1" customWidth="1"/>
    <col min="3881" max="4099" width="9.21875" style="2"/>
    <col min="4100" max="4100" width="8.44140625" style="2" customWidth="1"/>
    <col min="4101" max="4101" width="12.77734375" style="2" customWidth="1"/>
    <col min="4102" max="4102" width="15" style="2" bestFit="1" customWidth="1"/>
    <col min="4103" max="4103" width="7.21875" style="2" customWidth="1"/>
    <col min="4104" max="4104" width="10.21875" style="2" customWidth="1"/>
    <col min="4105" max="4105" width="5" style="2" bestFit="1" customWidth="1"/>
    <col min="4106" max="4106" width="8.77734375" style="2" customWidth="1"/>
    <col min="4107" max="4107" width="10.5546875" style="2" customWidth="1"/>
    <col min="4108" max="4108" width="8.77734375" style="2" customWidth="1"/>
    <col min="4109" max="4110" width="10.21875" style="2" customWidth="1"/>
    <col min="4111" max="4111" width="10.77734375" style="2" bestFit="1" customWidth="1"/>
    <col min="4112" max="4112" width="9.21875" style="2" bestFit="1"/>
    <col min="4113" max="4114" width="8.77734375" style="2" customWidth="1"/>
    <col min="4115" max="4115" width="10.21875" style="2" bestFit="1" customWidth="1"/>
    <col min="4116" max="4116" width="14" style="2" customWidth="1"/>
    <col min="4117" max="4117" width="16.77734375" style="2" bestFit="1" customWidth="1"/>
    <col min="4118" max="4118" width="8" style="2" bestFit="1" customWidth="1"/>
    <col min="4119" max="4119" width="9" style="2" bestFit="1" customWidth="1"/>
    <col min="4120" max="4120" width="6.21875" style="2" customWidth="1"/>
    <col min="4121" max="4121" width="6.77734375" style="2" customWidth="1"/>
    <col min="4122" max="4122" width="8" style="2" customWidth="1"/>
    <col min="4123" max="4123" width="6" style="2" customWidth="1"/>
    <col min="4124" max="4124" width="7.5546875" style="2" customWidth="1"/>
    <col min="4125" max="4125" width="9.21875" style="2"/>
    <col min="4126" max="4126" width="9.21875" style="2" bestFit="1" customWidth="1"/>
    <col min="4127" max="4127" width="15.77734375" style="2" customWidth="1"/>
    <col min="4128" max="4129" width="9.77734375" style="2" customWidth="1"/>
    <col min="4130" max="4135" width="9.21875" style="2"/>
    <col min="4136" max="4136" width="9.77734375" style="2" bestFit="1" customWidth="1"/>
    <col min="4137" max="4355" width="9.21875" style="2"/>
    <col min="4356" max="4356" width="8.44140625" style="2" customWidth="1"/>
    <col min="4357" max="4357" width="12.77734375" style="2" customWidth="1"/>
    <col min="4358" max="4358" width="15" style="2" bestFit="1" customWidth="1"/>
    <col min="4359" max="4359" width="7.21875" style="2" customWidth="1"/>
    <col min="4360" max="4360" width="10.21875" style="2" customWidth="1"/>
    <col min="4361" max="4361" width="5" style="2" bestFit="1" customWidth="1"/>
    <col min="4362" max="4362" width="8.77734375" style="2" customWidth="1"/>
    <col min="4363" max="4363" width="10.5546875" style="2" customWidth="1"/>
    <col min="4364" max="4364" width="8.77734375" style="2" customWidth="1"/>
    <col min="4365" max="4366" width="10.21875" style="2" customWidth="1"/>
    <col min="4367" max="4367" width="10.77734375" style="2" bestFit="1" customWidth="1"/>
    <col min="4368" max="4368" width="9.21875" style="2" bestFit="1"/>
    <col min="4369" max="4370" width="8.77734375" style="2" customWidth="1"/>
    <col min="4371" max="4371" width="10.21875" style="2" bestFit="1" customWidth="1"/>
    <col min="4372" max="4372" width="14" style="2" customWidth="1"/>
    <col min="4373" max="4373" width="16.77734375" style="2" bestFit="1" customWidth="1"/>
    <col min="4374" max="4374" width="8" style="2" bestFit="1" customWidth="1"/>
    <col min="4375" max="4375" width="9" style="2" bestFit="1" customWidth="1"/>
    <col min="4376" max="4376" width="6.21875" style="2" customWidth="1"/>
    <col min="4377" max="4377" width="6.77734375" style="2" customWidth="1"/>
    <col min="4378" max="4378" width="8" style="2" customWidth="1"/>
    <col min="4379" max="4379" width="6" style="2" customWidth="1"/>
    <col min="4380" max="4380" width="7.5546875" style="2" customWidth="1"/>
    <col min="4381" max="4381" width="9.21875" style="2"/>
    <col min="4382" max="4382" width="9.21875" style="2" bestFit="1" customWidth="1"/>
    <col min="4383" max="4383" width="15.77734375" style="2" customWidth="1"/>
    <col min="4384" max="4385" width="9.77734375" style="2" customWidth="1"/>
    <col min="4386" max="4391" width="9.21875" style="2"/>
    <col min="4392" max="4392" width="9.77734375" style="2" bestFit="1" customWidth="1"/>
    <col min="4393" max="4611" width="9.21875" style="2"/>
    <col min="4612" max="4612" width="8.44140625" style="2" customWidth="1"/>
    <col min="4613" max="4613" width="12.77734375" style="2" customWidth="1"/>
    <col min="4614" max="4614" width="15" style="2" bestFit="1" customWidth="1"/>
    <col min="4615" max="4615" width="7.21875" style="2" customWidth="1"/>
    <col min="4616" max="4616" width="10.21875" style="2" customWidth="1"/>
    <col min="4617" max="4617" width="5" style="2" bestFit="1" customWidth="1"/>
    <col min="4618" max="4618" width="8.77734375" style="2" customWidth="1"/>
    <col min="4619" max="4619" width="10.5546875" style="2" customWidth="1"/>
    <col min="4620" max="4620" width="8.77734375" style="2" customWidth="1"/>
    <col min="4621" max="4622" width="10.21875" style="2" customWidth="1"/>
    <col min="4623" max="4623" width="10.77734375" style="2" bestFit="1" customWidth="1"/>
    <col min="4624" max="4624" width="9.21875" style="2" bestFit="1"/>
    <col min="4625" max="4626" width="8.77734375" style="2" customWidth="1"/>
    <col min="4627" max="4627" width="10.21875" style="2" bestFit="1" customWidth="1"/>
    <col min="4628" max="4628" width="14" style="2" customWidth="1"/>
    <col min="4629" max="4629" width="16.77734375" style="2" bestFit="1" customWidth="1"/>
    <col min="4630" max="4630" width="8" style="2" bestFit="1" customWidth="1"/>
    <col min="4631" max="4631" width="9" style="2" bestFit="1" customWidth="1"/>
    <col min="4632" max="4632" width="6.21875" style="2" customWidth="1"/>
    <col min="4633" max="4633" width="6.77734375" style="2" customWidth="1"/>
    <col min="4634" max="4634" width="8" style="2" customWidth="1"/>
    <col min="4635" max="4635" width="6" style="2" customWidth="1"/>
    <col min="4636" max="4636" width="7.5546875" style="2" customWidth="1"/>
    <col min="4637" max="4637" width="9.21875" style="2"/>
    <col min="4638" max="4638" width="9.21875" style="2" bestFit="1" customWidth="1"/>
    <col min="4639" max="4639" width="15.77734375" style="2" customWidth="1"/>
    <col min="4640" max="4641" width="9.77734375" style="2" customWidth="1"/>
    <col min="4642" max="4647" width="9.21875" style="2"/>
    <col min="4648" max="4648" width="9.77734375" style="2" bestFit="1" customWidth="1"/>
    <col min="4649" max="4867" width="9.21875" style="2"/>
    <col min="4868" max="4868" width="8.44140625" style="2" customWidth="1"/>
    <col min="4869" max="4869" width="12.77734375" style="2" customWidth="1"/>
    <col min="4870" max="4870" width="15" style="2" bestFit="1" customWidth="1"/>
    <col min="4871" max="4871" width="7.21875" style="2" customWidth="1"/>
    <col min="4872" max="4872" width="10.21875" style="2" customWidth="1"/>
    <col min="4873" max="4873" width="5" style="2" bestFit="1" customWidth="1"/>
    <col min="4874" max="4874" width="8.77734375" style="2" customWidth="1"/>
    <col min="4875" max="4875" width="10.5546875" style="2" customWidth="1"/>
    <col min="4876" max="4876" width="8.77734375" style="2" customWidth="1"/>
    <col min="4877" max="4878" width="10.21875" style="2" customWidth="1"/>
    <col min="4879" max="4879" width="10.77734375" style="2" bestFit="1" customWidth="1"/>
    <col min="4880" max="4880" width="9.21875" style="2" bestFit="1"/>
    <col min="4881" max="4882" width="8.77734375" style="2" customWidth="1"/>
    <col min="4883" max="4883" width="10.21875" style="2" bestFit="1" customWidth="1"/>
    <col min="4884" max="4884" width="14" style="2" customWidth="1"/>
    <col min="4885" max="4885" width="16.77734375" style="2" bestFit="1" customWidth="1"/>
    <col min="4886" max="4886" width="8" style="2" bestFit="1" customWidth="1"/>
    <col min="4887" max="4887" width="9" style="2" bestFit="1" customWidth="1"/>
    <col min="4888" max="4888" width="6.21875" style="2" customWidth="1"/>
    <col min="4889" max="4889" width="6.77734375" style="2" customWidth="1"/>
    <col min="4890" max="4890" width="8" style="2" customWidth="1"/>
    <col min="4891" max="4891" width="6" style="2" customWidth="1"/>
    <col min="4892" max="4892" width="7.5546875" style="2" customWidth="1"/>
    <col min="4893" max="4893" width="9.21875" style="2"/>
    <col min="4894" max="4894" width="9.21875" style="2" bestFit="1" customWidth="1"/>
    <col min="4895" max="4895" width="15.77734375" style="2" customWidth="1"/>
    <col min="4896" max="4897" width="9.77734375" style="2" customWidth="1"/>
    <col min="4898" max="4903" width="9.21875" style="2"/>
    <col min="4904" max="4904" width="9.77734375" style="2" bestFit="1" customWidth="1"/>
    <col min="4905" max="5123" width="9.21875" style="2"/>
    <col min="5124" max="5124" width="8.44140625" style="2" customWidth="1"/>
    <col min="5125" max="5125" width="12.77734375" style="2" customWidth="1"/>
    <col min="5126" max="5126" width="15" style="2" bestFit="1" customWidth="1"/>
    <col min="5127" max="5127" width="7.21875" style="2" customWidth="1"/>
    <col min="5128" max="5128" width="10.21875" style="2" customWidth="1"/>
    <col min="5129" max="5129" width="5" style="2" bestFit="1" customWidth="1"/>
    <col min="5130" max="5130" width="8.77734375" style="2" customWidth="1"/>
    <col min="5131" max="5131" width="10.5546875" style="2" customWidth="1"/>
    <col min="5132" max="5132" width="8.77734375" style="2" customWidth="1"/>
    <col min="5133" max="5134" width="10.21875" style="2" customWidth="1"/>
    <col min="5135" max="5135" width="10.77734375" style="2" bestFit="1" customWidth="1"/>
    <col min="5136" max="5136" width="9.21875" style="2" bestFit="1"/>
    <col min="5137" max="5138" width="8.77734375" style="2" customWidth="1"/>
    <col min="5139" max="5139" width="10.21875" style="2" bestFit="1" customWidth="1"/>
    <col min="5140" max="5140" width="14" style="2" customWidth="1"/>
    <col min="5141" max="5141" width="16.77734375" style="2" bestFit="1" customWidth="1"/>
    <col min="5142" max="5142" width="8" style="2" bestFit="1" customWidth="1"/>
    <col min="5143" max="5143" width="9" style="2" bestFit="1" customWidth="1"/>
    <col min="5144" max="5144" width="6.21875" style="2" customWidth="1"/>
    <col min="5145" max="5145" width="6.77734375" style="2" customWidth="1"/>
    <col min="5146" max="5146" width="8" style="2" customWidth="1"/>
    <col min="5147" max="5147" width="6" style="2" customWidth="1"/>
    <col min="5148" max="5148" width="7.5546875" style="2" customWidth="1"/>
    <col min="5149" max="5149" width="9.21875" style="2"/>
    <col min="5150" max="5150" width="9.21875" style="2" bestFit="1" customWidth="1"/>
    <col min="5151" max="5151" width="15.77734375" style="2" customWidth="1"/>
    <col min="5152" max="5153" width="9.77734375" style="2" customWidth="1"/>
    <col min="5154" max="5159" width="9.21875" style="2"/>
    <col min="5160" max="5160" width="9.77734375" style="2" bestFit="1" customWidth="1"/>
    <col min="5161" max="5379" width="9.21875" style="2"/>
    <col min="5380" max="5380" width="8.44140625" style="2" customWidth="1"/>
    <col min="5381" max="5381" width="12.77734375" style="2" customWidth="1"/>
    <col min="5382" max="5382" width="15" style="2" bestFit="1" customWidth="1"/>
    <col min="5383" max="5383" width="7.21875" style="2" customWidth="1"/>
    <col min="5384" max="5384" width="10.21875" style="2" customWidth="1"/>
    <col min="5385" max="5385" width="5" style="2" bestFit="1" customWidth="1"/>
    <col min="5386" max="5386" width="8.77734375" style="2" customWidth="1"/>
    <col min="5387" max="5387" width="10.5546875" style="2" customWidth="1"/>
    <col min="5388" max="5388" width="8.77734375" style="2" customWidth="1"/>
    <col min="5389" max="5390" width="10.21875" style="2" customWidth="1"/>
    <col min="5391" max="5391" width="10.77734375" style="2" bestFit="1" customWidth="1"/>
    <col min="5392" max="5392" width="9.21875" style="2" bestFit="1"/>
    <col min="5393" max="5394" width="8.77734375" style="2" customWidth="1"/>
    <col min="5395" max="5395" width="10.21875" style="2" bestFit="1" customWidth="1"/>
    <col min="5396" max="5396" width="14" style="2" customWidth="1"/>
    <col min="5397" max="5397" width="16.77734375" style="2" bestFit="1" customWidth="1"/>
    <col min="5398" max="5398" width="8" style="2" bestFit="1" customWidth="1"/>
    <col min="5399" max="5399" width="9" style="2" bestFit="1" customWidth="1"/>
    <col min="5400" max="5400" width="6.21875" style="2" customWidth="1"/>
    <col min="5401" max="5401" width="6.77734375" style="2" customWidth="1"/>
    <col min="5402" max="5402" width="8" style="2" customWidth="1"/>
    <col min="5403" max="5403" width="6" style="2" customWidth="1"/>
    <col min="5404" max="5404" width="7.5546875" style="2" customWidth="1"/>
    <col min="5405" max="5405" width="9.21875" style="2"/>
    <col min="5406" max="5406" width="9.21875" style="2" bestFit="1" customWidth="1"/>
    <col min="5407" max="5407" width="15.77734375" style="2" customWidth="1"/>
    <col min="5408" max="5409" width="9.77734375" style="2" customWidth="1"/>
    <col min="5410" max="5415" width="9.21875" style="2"/>
    <col min="5416" max="5416" width="9.77734375" style="2" bestFit="1" customWidth="1"/>
    <col min="5417" max="5635" width="9.21875" style="2"/>
    <col min="5636" max="5636" width="8.44140625" style="2" customWidth="1"/>
    <col min="5637" max="5637" width="12.77734375" style="2" customWidth="1"/>
    <col min="5638" max="5638" width="15" style="2" bestFit="1" customWidth="1"/>
    <col min="5639" max="5639" width="7.21875" style="2" customWidth="1"/>
    <col min="5640" max="5640" width="10.21875" style="2" customWidth="1"/>
    <col min="5641" max="5641" width="5" style="2" bestFit="1" customWidth="1"/>
    <col min="5642" max="5642" width="8.77734375" style="2" customWidth="1"/>
    <col min="5643" max="5643" width="10.5546875" style="2" customWidth="1"/>
    <col min="5644" max="5644" width="8.77734375" style="2" customWidth="1"/>
    <col min="5645" max="5646" width="10.21875" style="2" customWidth="1"/>
    <col min="5647" max="5647" width="10.77734375" style="2" bestFit="1" customWidth="1"/>
    <col min="5648" max="5648" width="9.21875" style="2" bestFit="1"/>
    <col min="5649" max="5650" width="8.77734375" style="2" customWidth="1"/>
    <col min="5651" max="5651" width="10.21875" style="2" bestFit="1" customWidth="1"/>
    <col min="5652" max="5652" width="14" style="2" customWidth="1"/>
    <col min="5653" max="5653" width="16.77734375" style="2" bestFit="1" customWidth="1"/>
    <col min="5654" max="5654" width="8" style="2" bestFit="1" customWidth="1"/>
    <col min="5655" max="5655" width="9" style="2" bestFit="1" customWidth="1"/>
    <col min="5656" max="5656" width="6.21875" style="2" customWidth="1"/>
    <col min="5657" max="5657" width="6.77734375" style="2" customWidth="1"/>
    <col min="5658" max="5658" width="8" style="2" customWidth="1"/>
    <col min="5659" max="5659" width="6" style="2" customWidth="1"/>
    <col min="5660" max="5660" width="7.5546875" style="2" customWidth="1"/>
    <col min="5661" max="5661" width="9.21875" style="2"/>
    <col min="5662" max="5662" width="9.21875" style="2" bestFit="1" customWidth="1"/>
    <col min="5663" max="5663" width="15.77734375" style="2" customWidth="1"/>
    <col min="5664" max="5665" width="9.77734375" style="2" customWidth="1"/>
    <col min="5666" max="5671" width="9.21875" style="2"/>
    <col min="5672" max="5672" width="9.77734375" style="2" bestFit="1" customWidth="1"/>
    <col min="5673" max="5891" width="9.21875" style="2"/>
    <col min="5892" max="5892" width="8.44140625" style="2" customWidth="1"/>
    <col min="5893" max="5893" width="12.77734375" style="2" customWidth="1"/>
    <col min="5894" max="5894" width="15" style="2" bestFit="1" customWidth="1"/>
    <col min="5895" max="5895" width="7.21875" style="2" customWidth="1"/>
    <col min="5896" max="5896" width="10.21875" style="2" customWidth="1"/>
    <col min="5897" max="5897" width="5" style="2" bestFit="1" customWidth="1"/>
    <col min="5898" max="5898" width="8.77734375" style="2" customWidth="1"/>
    <col min="5899" max="5899" width="10.5546875" style="2" customWidth="1"/>
    <col min="5900" max="5900" width="8.77734375" style="2" customWidth="1"/>
    <col min="5901" max="5902" width="10.21875" style="2" customWidth="1"/>
    <col min="5903" max="5903" width="10.77734375" style="2" bestFit="1" customWidth="1"/>
    <col min="5904" max="5904" width="9.21875" style="2" bestFit="1"/>
    <col min="5905" max="5906" width="8.77734375" style="2" customWidth="1"/>
    <col min="5907" max="5907" width="10.21875" style="2" bestFit="1" customWidth="1"/>
    <col min="5908" max="5908" width="14" style="2" customWidth="1"/>
    <col min="5909" max="5909" width="16.77734375" style="2" bestFit="1" customWidth="1"/>
    <col min="5910" max="5910" width="8" style="2" bestFit="1" customWidth="1"/>
    <col min="5911" max="5911" width="9" style="2" bestFit="1" customWidth="1"/>
    <col min="5912" max="5912" width="6.21875" style="2" customWidth="1"/>
    <col min="5913" max="5913" width="6.77734375" style="2" customWidth="1"/>
    <col min="5914" max="5914" width="8" style="2" customWidth="1"/>
    <col min="5915" max="5915" width="6" style="2" customWidth="1"/>
    <col min="5916" max="5916" width="7.5546875" style="2" customWidth="1"/>
    <col min="5917" max="5917" width="9.21875" style="2"/>
    <col min="5918" max="5918" width="9.21875" style="2" bestFit="1" customWidth="1"/>
    <col min="5919" max="5919" width="15.77734375" style="2" customWidth="1"/>
    <col min="5920" max="5921" width="9.77734375" style="2" customWidth="1"/>
    <col min="5922" max="5927" width="9.21875" style="2"/>
    <col min="5928" max="5928" width="9.77734375" style="2" bestFit="1" customWidth="1"/>
    <col min="5929" max="6147" width="9.21875" style="2"/>
    <col min="6148" max="6148" width="8.44140625" style="2" customWidth="1"/>
    <col min="6149" max="6149" width="12.77734375" style="2" customWidth="1"/>
    <col min="6150" max="6150" width="15" style="2" bestFit="1" customWidth="1"/>
    <col min="6151" max="6151" width="7.21875" style="2" customWidth="1"/>
    <col min="6152" max="6152" width="10.21875" style="2" customWidth="1"/>
    <col min="6153" max="6153" width="5" style="2" bestFit="1" customWidth="1"/>
    <col min="6154" max="6154" width="8.77734375" style="2" customWidth="1"/>
    <col min="6155" max="6155" width="10.5546875" style="2" customWidth="1"/>
    <col min="6156" max="6156" width="8.77734375" style="2" customWidth="1"/>
    <col min="6157" max="6158" width="10.21875" style="2" customWidth="1"/>
    <col min="6159" max="6159" width="10.77734375" style="2" bestFit="1" customWidth="1"/>
    <col min="6160" max="6160" width="9.21875" style="2" bestFit="1"/>
    <col min="6161" max="6162" width="8.77734375" style="2" customWidth="1"/>
    <col min="6163" max="6163" width="10.21875" style="2" bestFit="1" customWidth="1"/>
    <col min="6164" max="6164" width="14" style="2" customWidth="1"/>
    <col min="6165" max="6165" width="16.77734375" style="2" bestFit="1" customWidth="1"/>
    <col min="6166" max="6166" width="8" style="2" bestFit="1" customWidth="1"/>
    <col min="6167" max="6167" width="9" style="2" bestFit="1" customWidth="1"/>
    <col min="6168" max="6168" width="6.21875" style="2" customWidth="1"/>
    <col min="6169" max="6169" width="6.77734375" style="2" customWidth="1"/>
    <col min="6170" max="6170" width="8" style="2" customWidth="1"/>
    <col min="6171" max="6171" width="6" style="2" customWidth="1"/>
    <col min="6172" max="6172" width="7.5546875" style="2" customWidth="1"/>
    <col min="6173" max="6173" width="9.21875" style="2"/>
    <col min="6174" max="6174" width="9.21875" style="2" bestFit="1" customWidth="1"/>
    <col min="6175" max="6175" width="15.77734375" style="2" customWidth="1"/>
    <col min="6176" max="6177" width="9.77734375" style="2" customWidth="1"/>
    <col min="6178" max="6183" width="9.21875" style="2"/>
    <col min="6184" max="6184" width="9.77734375" style="2" bestFit="1" customWidth="1"/>
    <col min="6185" max="6403" width="9.21875" style="2"/>
    <col min="6404" max="6404" width="8.44140625" style="2" customWidth="1"/>
    <col min="6405" max="6405" width="12.77734375" style="2" customWidth="1"/>
    <col min="6406" max="6406" width="15" style="2" bestFit="1" customWidth="1"/>
    <col min="6407" max="6407" width="7.21875" style="2" customWidth="1"/>
    <col min="6408" max="6408" width="10.21875" style="2" customWidth="1"/>
    <col min="6409" max="6409" width="5" style="2" bestFit="1" customWidth="1"/>
    <col min="6410" max="6410" width="8.77734375" style="2" customWidth="1"/>
    <col min="6411" max="6411" width="10.5546875" style="2" customWidth="1"/>
    <col min="6412" max="6412" width="8.77734375" style="2" customWidth="1"/>
    <col min="6413" max="6414" width="10.21875" style="2" customWidth="1"/>
    <col min="6415" max="6415" width="10.77734375" style="2" bestFit="1" customWidth="1"/>
    <col min="6416" max="6416" width="9.21875" style="2" bestFit="1"/>
    <col min="6417" max="6418" width="8.77734375" style="2" customWidth="1"/>
    <col min="6419" max="6419" width="10.21875" style="2" bestFit="1" customWidth="1"/>
    <col min="6420" max="6420" width="14" style="2" customWidth="1"/>
    <col min="6421" max="6421" width="16.77734375" style="2" bestFit="1" customWidth="1"/>
    <col min="6422" max="6422" width="8" style="2" bestFit="1" customWidth="1"/>
    <col min="6423" max="6423" width="9" style="2" bestFit="1" customWidth="1"/>
    <col min="6424" max="6424" width="6.21875" style="2" customWidth="1"/>
    <col min="6425" max="6425" width="6.77734375" style="2" customWidth="1"/>
    <col min="6426" max="6426" width="8" style="2" customWidth="1"/>
    <col min="6427" max="6427" width="6" style="2" customWidth="1"/>
    <col min="6428" max="6428" width="7.5546875" style="2" customWidth="1"/>
    <col min="6429" max="6429" width="9.21875" style="2"/>
    <col min="6430" max="6430" width="9.21875" style="2" bestFit="1" customWidth="1"/>
    <col min="6431" max="6431" width="15.77734375" style="2" customWidth="1"/>
    <col min="6432" max="6433" width="9.77734375" style="2" customWidth="1"/>
    <col min="6434" max="6439" width="9.21875" style="2"/>
    <col min="6440" max="6440" width="9.77734375" style="2" bestFit="1" customWidth="1"/>
    <col min="6441" max="6659" width="9.21875" style="2"/>
    <col min="6660" max="6660" width="8.44140625" style="2" customWidth="1"/>
    <col min="6661" max="6661" width="12.77734375" style="2" customWidth="1"/>
    <col min="6662" max="6662" width="15" style="2" bestFit="1" customWidth="1"/>
    <col min="6663" max="6663" width="7.21875" style="2" customWidth="1"/>
    <col min="6664" max="6664" width="10.21875" style="2" customWidth="1"/>
    <col min="6665" max="6665" width="5" style="2" bestFit="1" customWidth="1"/>
    <col min="6666" max="6666" width="8.77734375" style="2" customWidth="1"/>
    <col min="6667" max="6667" width="10.5546875" style="2" customWidth="1"/>
    <col min="6668" max="6668" width="8.77734375" style="2" customWidth="1"/>
    <col min="6669" max="6670" width="10.21875" style="2" customWidth="1"/>
    <col min="6671" max="6671" width="10.77734375" style="2" bestFit="1" customWidth="1"/>
    <col min="6672" max="6672" width="9.21875" style="2" bestFit="1"/>
    <col min="6673" max="6674" width="8.77734375" style="2" customWidth="1"/>
    <col min="6675" max="6675" width="10.21875" style="2" bestFit="1" customWidth="1"/>
    <col min="6676" max="6676" width="14" style="2" customWidth="1"/>
    <col min="6677" max="6677" width="16.77734375" style="2" bestFit="1" customWidth="1"/>
    <col min="6678" max="6678" width="8" style="2" bestFit="1" customWidth="1"/>
    <col min="6679" max="6679" width="9" style="2" bestFit="1" customWidth="1"/>
    <col min="6680" max="6680" width="6.21875" style="2" customWidth="1"/>
    <col min="6681" max="6681" width="6.77734375" style="2" customWidth="1"/>
    <col min="6682" max="6682" width="8" style="2" customWidth="1"/>
    <col min="6683" max="6683" width="6" style="2" customWidth="1"/>
    <col min="6684" max="6684" width="7.5546875" style="2" customWidth="1"/>
    <col min="6685" max="6685" width="9.21875" style="2"/>
    <col min="6686" max="6686" width="9.21875" style="2" bestFit="1" customWidth="1"/>
    <col min="6687" max="6687" width="15.77734375" style="2" customWidth="1"/>
    <col min="6688" max="6689" width="9.77734375" style="2" customWidth="1"/>
    <col min="6690" max="6695" width="9.21875" style="2"/>
    <col min="6696" max="6696" width="9.77734375" style="2" bestFit="1" customWidth="1"/>
    <col min="6697" max="6915" width="9.21875" style="2"/>
    <col min="6916" max="6916" width="8.44140625" style="2" customWidth="1"/>
    <col min="6917" max="6917" width="12.77734375" style="2" customWidth="1"/>
    <col min="6918" max="6918" width="15" style="2" bestFit="1" customWidth="1"/>
    <col min="6919" max="6919" width="7.21875" style="2" customWidth="1"/>
    <col min="6920" max="6920" width="10.21875" style="2" customWidth="1"/>
    <col min="6921" max="6921" width="5" style="2" bestFit="1" customWidth="1"/>
    <col min="6922" max="6922" width="8.77734375" style="2" customWidth="1"/>
    <col min="6923" max="6923" width="10.5546875" style="2" customWidth="1"/>
    <col min="6924" max="6924" width="8.77734375" style="2" customWidth="1"/>
    <col min="6925" max="6926" width="10.21875" style="2" customWidth="1"/>
    <col min="6927" max="6927" width="10.77734375" style="2" bestFit="1" customWidth="1"/>
    <col min="6928" max="6928" width="9.21875" style="2" bestFit="1"/>
    <col min="6929" max="6930" width="8.77734375" style="2" customWidth="1"/>
    <col min="6931" max="6931" width="10.21875" style="2" bestFit="1" customWidth="1"/>
    <col min="6932" max="6932" width="14" style="2" customWidth="1"/>
    <col min="6933" max="6933" width="16.77734375" style="2" bestFit="1" customWidth="1"/>
    <col min="6934" max="6934" width="8" style="2" bestFit="1" customWidth="1"/>
    <col min="6935" max="6935" width="9" style="2" bestFit="1" customWidth="1"/>
    <col min="6936" max="6936" width="6.21875" style="2" customWidth="1"/>
    <col min="6937" max="6937" width="6.77734375" style="2" customWidth="1"/>
    <col min="6938" max="6938" width="8" style="2" customWidth="1"/>
    <col min="6939" max="6939" width="6" style="2" customWidth="1"/>
    <col min="6940" max="6940" width="7.5546875" style="2" customWidth="1"/>
    <col min="6941" max="6941" width="9.21875" style="2"/>
    <col min="6942" max="6942" width="9.21875" style="2" bestFit="1" customWidth="1"/>
    <col min="6943" max="6943" width="15.77734375" style="2" customWidth="1"/>
    <col min="6944" max="6945" width="9.77734375" style="2" customWidth="1"/>
    <col min="6946" max="6951" width="9.21875" style="2"/>
    <col min="6952" max="6952" width="9.77734375" style="2" bestFit="1" customWidth="1"/>
    <col min="6953" max="7171" width="9.21875" style="2"/>
    <col min="7172" max="7172" width="8.44140625" style="2" customWidth="1"/>
    <col min="7173" max="7173" width="12.77734375" style="2" customWidth="1"/>
    <col min="7174" max="7174" width="15" style="2" bestFit="1" customWidth="1"/>
    <col min="7175" max="7175" width="7.21875" style="2" customWidth="1"/>
    <col min="7176" max="7176" width="10.21875" style="2" customWidth="1"/>
    <col min="7177" max="7177" width="5" style="2" bestFit="1" customWidth="1"/>
    <col min="7178" max="7178" width="8.77734375" style="2" customWidth="1"/>
    <col min="7179" max="7179" width="10.5546875" style="2" customWidth="1"/>
    <col min="7180" max="7180" width="8.77734375" style="2" customWidth="1"/>
    <col min="7181" max="7182" width="10.21875" style="2" customWidth="1"/>
    <col min="7183" max="7183" width="10.77734375" style="2" bestFit="1" customWidth="1"/>
    <col min="7184" max="7184" width="9.21875" style="2" bestFit="1"/>
    <col min="7185" max="7186" width="8.77734375" style="2" customWidth="1"/>
    <col min="7187" max="7187" width="10.21875" style="2" bestFit="1" customWidth="1"/>
    <col min="7188" max="7188" width="14" style="2" customWidth="1"/>
    <col min="7189" max="7189" width="16.77734375" style="2" bestFit="1" customWidth="1"/>
    <col min="7190" max="7190" width="8" style="2" bestFit="1" customWidth="1"/>
    <col min="7191" max="7191" width="9" style="2" bestFit="1" customWidth="1"/>
    <col min="7192" max="7192" width="6.21875" style="2" customWidth="1"/>
    <col min="7193" max="7193" width="6.77734375" style="2" customWidth="1"/>
    <col min="7194" max="7194" width="8" style="2" customWidth="1"/>
    <col min="7195" max="7195" width="6" style="2" customWidth="1"/>
    <col min="7196" max="7196" width="7.5546875" style="2" customWidth="1"/>
    <col min="7197" max="7197" width="9.21875" style="2"/>
    <col min="7198" max="7198" width="9.21875" style="2" bestFit="1" customWidth="1"/>
    <col min="7199" max="7199" width="15.77734375" style="2" customWidth="1"/>
    <col min="7200" max="7201" width="9.77734375" style="2" customWidth="1"/>
    <col min="7202" max="7207" width="9.21875" style="2"/>
    <col min="7208" max="7208" width="9.77734375" style="2" bestFit="1" customWidth="1"/>
    <col min="7209" max="7427" width="9.21875" style="2"/>
    <col min="7428" max="7428" width="8.44140625" style="2" customWidth="1"/>
    <col min="7429" max="7429" width="12.77734375" style="2" customWidth="1"/>
    <col min="7430" max="7430" width="15" style="2" bestFit="1" customWidth="1"/>
    <col min="7431" max="7431" width="7.21875" style="2" customWidth="1"/>
    <col min="7432" max="7432" width="10.21875" style="2" customWidth="1"/>
    <col min="7433" max="7433" width="5" style="2" bestFit="1" customWidth="1"/>
    <col min="7434" max="7434" width="8.77734375" style="2" customWidth="1"/>
    <col min="7435" max="7435" width="10.5546875" style="2" customWidth="1"/>
    <col min="7436" max="7436" width="8.77734375" style="2" customWidth="1"/>
    <col min="7437" max="7438" width="10.21875" style="2" customWidth="1"/>
    <col min="7439" max="7439" width="10.77734375" style="2" bestFit="1" customWidth="1"/>
    <col min="7440" max="7440" width="9.21875" style="2" bestFit="1"/>
    <col min="7441" max="7442" width="8.77734375" style="2" customWidth="1"/>
    <col min="7443" max="7443" width="10.21875" style="2" bestFit="1" customWidth="1"/>
    <col min="7444" max="7444" width="14" style="2" customWidth="1"/>
    <col min="7445" max="7445" width="16.77734375" style="2" bestFit="1" customWidth="1"/>
    <col min="7446" max="7446" width="8" style="2" bestFit="1" customWidth="1"/>
    <col min="7447" max="7447" width="9" style="2" bestFit="1" customWidth="1"/>
    <col min="7448" max="7448" width="6.21875" style="2" customWidth="1"/>
    <col min="7449" max="7449" width="6.77734375" style="2" customWidth="1"/>
    <col min="7450" max="7450" width="8" style="2" customWidth="1"/>
    <col min="7451" max="7451" width="6" style="2" customWidth="1"/>
    <col min="7452" max="7452" width="7.5546875" style="2" customWidth="1"/>
    <col min="7453" max="7453" width="9.21875" style="2"/>
    <col min="7454" max="7454" width="9.21875" style="2" bestFit="1" customWidth="1"/>
    <col min="7455" max="7455" width="15.77734375" style="2" customWidth="1"/>
    <col min="7456" max="7457" width="9.77734375" style="2" customWidth="1"/>
    <col min="7458" max="7463" width="9.21875" style="2"/>
    <col min="7464" max="7464" width="9.77734375" style="2" bestFit="1" customWidth="1"/>
    <col min="7465" max="7683" width="9.21875" style="2"/>
    <col min="7684" max="7684" width="8.44140625" style="2" customWidth="1"/>
    <col min="7685" max="7685" width="12.77734375" style="2" customWidth="1"/>
    <col min="7686" max="7686" width="15" style="2" bestFit="1" customWidth="1"/>
    <col min="7687" max="7687" width="7.21875" style="2" customWidth="1"/>
    <col min="7688" max="7688" width="10.21875" style="2" customWidth="1"/>
    <col min="7689" max="7689" width="5" style="2" bestFit="1" customWidth="1"/>
    <col min="7690" max="7690" width="8.77734375" style="2" customWidth="1"/>
    <col min="7691" max="7691" width="10.5546875" style="2" customWidth="1"/>
    <col min="7692" max="7692" width="8.77734375" style="2" customWidth="1"/>
    <col min="7693" max="7694" width="10.21875" style="2" customWidth="1"/>
    <col min="7695" max="7695" width="10.77734375" style="2" bestFit="1" customWidth="1"/>
    <col min="7696" max="7696" width="9.21875" style="2" bestFit="1"/>
    <col min="7697" max="7698" width="8.77734375" style="2" customWidth="1"/>
    <col min="7699" max="7699" width="10.21875" style="2" bestFit="1" customWidth="1"/>
    <col min="7700" max="7700" width="14" style="2" customWidth="1"/>
    <col min="7701" max="7701" width="16.77734375" style="2" bestFit="1" customWidth="1"/>
    <col min="7702" max="7702" width="8" style="2" bestFit="1" customWidth="1"/>
    <col min="7703" max="7703" width="9" style="2" bestFit="1" customWidth="1"/>
    <col min="7704" max="7704" width="6.21875" style="2" customWidth="1"/>
    <col min="7705" max="7705" width="6.77734375" style="2" customWidth="1"/>
    <col min="7706" max="7706" width="8" style="2" customWidth="1"/>
    <col min="7707" max="7707" width="6" style="2" customWidth="1"/>
    <col min="7708" max="7708" width="7.5546875" style="2" customWidth="1"/>
    <col min="7709" max="7709" width="9.21875" style="2"/>
    <col min="7710" max="7710" width="9.21875" style="2" bestFit="1" customWidth="1"/>
    <col min="7711" max="7711" width="15.77734375" style="2" customWidth="1"/>
    <col min="7712" max="7713" width="9.77734375" style="2" customWidth="1"/>
    <col min="7714" max="7719" width="9.21875" style="2"/>
    <col min="7720" max="7720" width="9.77734375" style="2" bestFit="1" customWidth="1"/>
    <col min="7721" max="7939" width="9.21875" style="2"/>
    <col min="7940" max="7940" width="8.44140625" style="2" customWidth="1"/>
    <col min="7941" max="7941" width="12.77734375" style="2" customWidth="1"/>
    <col min="7942" max="7942" width="15" style="2" bestFit="1" customWidth="1"/>
    <col min="7943" max="7943" width="7.21875" style="2" customWidth="1"/>
    <col min="7944" max="7944" width="10.21875" style="2" customWidth="1"/>
    <col min="7945" max="7945" width="5" style="2" bestFit="1" customWidth="1"/>
    <col min="7946" max="7946" width="8.77734375" style="2" customWidth="1"/>
    <col min="7947" max="7947" width="10.5546875" style="2" customWidth="1"/>
    <col min="7948" max="7948" width="8.77734375" style="2" customWidth="1"/>
    <col min="7949" max="7950" width="10.21875" style="2" customWidth="1"/>
    <col min="7951" max="7951" width="10.77734375" style="2" bestFit="1" customWidth="1"/>
    <col min="7952" max="7952" width="9.21875" style="2" bestFit="1"/>
    <col min="7953" max="7954" width="8.77734375" style="2" customWidth="1"/>
    <col min="7955" max="7955" width="10.21875" style="2" bestFit="1" customWidth="1"/>
    <col min="7956" max="7956" width="14" style="2" customWidth="1"/>
    <col min="7957" max="7957" width="16.77734375" style="2" bestFit="1" customWidth="1"/>
    <col min="7958" max="7958" width="8" style="2" bestFit="1" customWidth="1"/>
    <col min="7959" max="7959" width="9" style="2" bestFit="1" customWidth="1"/>
    <col min="7960" max="7960" width="6.21875" style="2" customWidth="1"/>
    <col min="7961" max="7961" width="6.77734375" style="2" customWidth="1"/>
    <col min="7962" max="7962" width="8" style="2" customWidth="1"/>
    <col min="7963" max="7963" width="6" style="2" customWidth="1"/>
    <col min="7964" max="7964" width="7.5546875" style="2" customWidth="1"/>
    <col min="7965" max="7965" width="9.21875" style="2"/>
    <col min="7966" max="7966" width="9.21875" style="2" bestFit="1" customWidth="1"/>
    <col min="7967" max="7967" width="15.77734375" style="2" customWidth="1"/>
    <col min="7968" max="7969" width="9.77734375" style="2" customWidth="1"/>
    <col min="7970" max="7975" width="9.21875" style="2"/>
    <col min="7976" max="7976" width="9.77734375" style="2" bestFit="1" customWidth="1"/>
    <col min="7977" max="8195" width="9.21875" style="2"/>
    <col min="8196" max="8196" width="8.44140625" style="2" customWidth="1"/>
    <col min="8197" max="8197" width="12.77734375" style="2" customWidth="1"/>
    <col min="8198" max="8198" width="15" style="2" bestFit="1" customWidth="1"/>
    <col min="8199" max="8199" width="7.21875" style="2" customWidth="1"/>
    <col min="8200" max="8200" width="10.21875" style="2" customWidth="1"/>
    <col min="8201" max="8201" width="5" style="2" bestFit="1" customWidth="1"/>
    <col min="8202" max="8202" width="8.77734375" style="2" customWidth="1"/>
    <col min="8203" max="8203" width="10.5546875" style="2" customWidth="1"/>
    <col min="8204" max="8204" width="8.77734375" style="2" customWidth="1"/>
    <col min="8205" max="8206" width="10.21875" style="2" customWidth="1"/>
    <col min="8207" max="8207" width="10.77734375" style="2" bestFit="1" customWidth="1"/>
    <col min="8208" max="8208" width="9.21875" style="2" bestFit="1"/>
    <col min="8209" max="8210" width="8.77734375" style="2" customWidth="1"/>
    <col min="8211" max="8211" width="10.21875" style="2" bestFit="1" customWidth="1"/>
    <col min="8212" max="8212" width="14" style="2" customWidth="1"/>
    <col min="8213" max="8213" width="16.77734375" style="2" bestFit="1" customWidth="1"/>
    <col min="8214" max="8214" width="8" style="2" bestFit="1" customWidth="1"/>
    <col min="8215" max="8215" width="9" style="2" bestFit="1" customWidth="1"/>
    <col min="8216" max="8216" width="6.21875" style="2" customWidth="1"/>
    <col min="8217" max="8217" width="6.77734375" style="2" customWidth="1"/>
    <col min="8218" max="8218" width="8" style="2" customWidth="1"/>
    <col min="8219" max="8219" width="6" style="2" customWidth="1"/>
    <col min="8220" max="8220" width="7.5546875" style="2" customWidth="1"/>
    <col min="8221" max="8221" width="9.21875" style="2"/>
    <col min="8222" max="8222" width="9.21875" style="2" bestFit="1" customWidth="1"/>
    <col min="8223" max="8223" width="15.77734375" style="2" customWidth="1"/>
    <col min="8224" max="8225" width="9.77734375" style="2" customWidth="1"/>
    <col min="8226" max="8231" width="9.21875" style="2"/>
    <col min="8232" max="8232" width="9.77734375" style="2" bestFit="1" customWidth="1"/>
    <col min="8233" max="8451" width="9.21875" style="2"/>
    <col min="8452" max="8452" width="8.44140625" style="2" customWidth="1"/>
    <col min="8453" max="8453" width="12.77734375" style="2" customWidth="1"/>
    <col min="8454" max="8454" width="15" style="2" bestFit="1" customWidth="1"/>
    <col min="8455" max="8455" width="7.21875" style="2" customWidth="1"/>
    <col min="8456" max="8456" width="10.21875" style="2" customWidth="1"/>
    <col min="8457" max="8457" width="5" style="2" bestFit="1" customWidth="1"/>
    <col min="8458" max="8458" width="8.77734375" style="2" customWidth="1"/>
    <col min="8459" max="8459" width="10.5546875" style="2" customWidth="1"/>
    <col min="8460" max="8460" width="8.77734375" style="2" customWidth="1"/>
    <col min="8461" max="8462" width="10.21875" style="2" customWidth="1"/>
    <col min="8463" max="8463" width="10.77734375" style="2" bestFit="1" customWidth="1"/>
    <col min="8464" max="8464" width="9.21875" style="2" bestFit="1"/>
    <col min="8465" max="8466" width="8.77734375" style="2" customWidth="1"/>
    <col min="8467" max="8467" width="10.21875" style="2" bestFit="1" customWidth="1"/>
    <col min="8468" max="8468" width="14" style="2" customWidth="1"/>
    <col min="8469" max="8469" width="16.77734375" style="2" bestFit="1" customWidth="1"/>
    <col min="8470" max="8470" width="8" style="2" bestFit="1" customWidth="1"/>
    <col min="8471" max="8471" width="9" style="2" bestFit="1" customWidth="1"/>
    <col min="8472" max="8472" width="6.21875" style="2" customWidth="1"/>
    <col min="8473" max="8473" width="6.77734375" style="2" customWidth="1"/>
    <col min="8474" max="8474" width="8" style="2" customWidth="1"/>
    <col min="8475" max="8475" width="6" style="2" customWidth="1"/>
    <col min="8476" max="8476" width="7.5546875" style="2" customWidth="1"/>
    <col min="8477" max="8477" width="9.21875" style="2"/>
    <col min="8478" max="8478" width="9.21875" style="2" bestFit="1" customWidth="1"/>
    <col min="8479" max="8479" width="15.77734375" style="2" customWidth="1"/>
    <col min="8480" max="8481" width="9.77734375" style="2" customWidth="1"/>
    <col min="8482" max="8487" width="9.21875" style="2"/>
    <col min="8488" max="8488" width="9.77734375" style="2" bestFit="1" customWidth="1"/>
    <col min="8489" max="8707" width="9.21875" style="2"/>
    <col min="8708" max="8708" width="8.44140625" style="2" customWidth="1"/>
    <col min="8709" max="8709" width="12.77734375" style="2" customWidth="1"/>
    <col min="8710" max="8710" width="15" style="2" bestFit="1" customWidth="1"/>
    <col min="8711" max="8711" width="7.21875" style="2" customWidth="1"/>
    <col min="8712" max="8712" width="10.21875" style="2" customWidth="1"/>
    <col min="8713" max="8713" width="5" style="2" bestFit="1" customWidth="1"/>
    <col min="8714" max="8714" width="8.77734375" style="2" customWidth="1"/>
    <col min="8715" max="8715" width="10.5546875" style="2" customWidth="1"/>
    <col min="8716" max="8716" width="8.77734375" style="2" customWidth="1"/>
    <col min="8717" max="8718" width="10.21875" style="2" customWidth="1"/>
    <col min="8719" max="8719" width="10.77734375" style="2" bestFit="1" customWidth="1"/>
    <col min="8720" max="8720" width="9.21875" style="2" bestFit="1"/>
    <col min="8721" max="8722" width="8.77734375" style="2" customWidth="1"/>
    <col min="8723" max="8723" width="10.21875" style="2" bestFit="1" customWidth="1"/>
    <col min="8724" max="8724" width="14" style="2" customWidth="1"/>
    <col min="8725" max="8725" width="16.77734375" style="2" bestFit="1" customWidth="1"/>
    <col min="8726" max="8726" width="8" style="2" bestFit="1" customWidth="1"/>
    <col min="8727" max="8727" width="9" style="2" bestFit="1" customWidth="1"/>
    <col min="8728" max="8728" width="6.21875" style="2" customWidth="1"/>
    <col min="8729" max="8729" width="6.77734375" style="2" customWidth="1"/>
    <col min="8730" max="8730" width="8" style="2" customWidth="1"/>
    <col min="8731" max="8731" width="6" style="2" customWidth="1"/>
    <col min="8732" max="8732" width="7.5546875" style="2" customWidth="1"/>
    <col min="8733" max="8733" width="9.21875" style="2"/>
    <col min="8734" max="8734" width="9.21875" style="2" bestFit="1" customWidth="1"/>
    <col min="8735" max="8735" width="15.77734375" style="2" customWidth="1"/>
    <col min="8736" max="8737" width="9.77734375" style="2" customWidth="1"/>
    <col min="8738" max="8743" width="9.21875" style="2"/>
    <col min="8744" max="8744" width="9.77734375" style="2" bestFit="1" customWidth="1"/>
    <col min="8745" max="8963" width="9.21875" style="2"/>
    <col min="8964" max="8964" width="8.44140625" style="2" customWidth="1"/>
    <col min="8965" max="8965" width="12.77734375" style="2" customWidth="1"/>
    <col min="8966" max="8966" width="15" style="2" bestFit="1" customWidth="1"/>
    <col min="8967" max="8967" width="7.21875" style="2" customWidth="1"/>
    <col min="8968" max="8968" width="10.21875" style="2" customWidth="1"/>
    <col min="8969" max="8969" width="5" style="2" bestFit="1" customWidth="1"/>
    <col min="8970" max="8970" width="8.77734375" style="2" customWidth="1"/>
    <col min="8971" max="8971" width="10.5546875" style="2" customWidth="1"/>
    <col min="8972" max="8972" width="8.77734375" style="2" customWidth="1"/>
    <col min="8973" max="8974" width="10.21875" style="2" customWidth="1"/>
    <col min="8975" max="8975" width="10.77734375" style="2" bestFit="1" customWidth="1"/>
    <col min="8976" max="8976" width="9.21875" style="2" bestFit="1"/>
    <col min="8977" max="8978" width="8.77734375" style="2" customWidth="1"/>
    <col min="8979" max="8979" width="10.21875" style="2" bestFit="1" customWidth="1"/>
    <col min="8980" max="8980" width="14" style="2" customWidth="1"/>
    <col min="8981" max="8981" width="16.77734375" style="2" bestFit="1" customWidth="1"/>
    <col min="8982" max="8982" width="8" style="2" bestFit="1" customWidth="1"/>
    <col min="8983" max="8983" width="9" style="2" bestFit="1" customWidth="1"/>
    <col min="8984" max="8984" width="6.21875" style="2" customWidth="1"/>
    <col min="8985" max="8985" width="6.77734375" style="2" customWidth="1"/>
    <col min="8986" max="8986" width="8" style="2" customWidth="1"/>
    <col min="8987" max="8987" width="6" style="2" customWidth="1"/>
    <col min="8988" max="8988" width="7.5546875" style="2" customWidth="1"/>
    <col min="8989" max="8989" width="9.21875" style="2"/>
    <col min="8990" max="8990" width="9.21875" style="2" bestFit="1" customWidth="1"/>
    <col min="8991" max="8991" width="15.77734375" style="2" customWidth="1"/>
    <col min="8992" max="8993" width="9.77734375" style="2" customWidth="1"/>
    <col min="8994" max="8999" width="9.21875" style="2"/>
    <col min="9000" max="9000" width="9.77734375" style="2" bestFit="1" customWidth="1"/>
    <col min="9001" max="9219" width="9.21875" style="2"/>
    <col min="9220" max="9220" width="8.44140625" style="2" customWidth="1"/>
    <col min="9221" max="9221" width="12.77734375" style="2" customWidth="1"/>
    <col min="9222" max="9222" width="15" style="2" bestFit="1" customWidth="1"/>
    <col min="9223" max="9223" width="7.21875" style="2" customWidth="1"/>
    <col min="9224" max="9224" width="10.21875" style="2" customWidth="1"/>
    <col min="9225" max="9225" width="5" style="2" bestFit="1" customWidth="1"/>
    <col min="9226" max="9226" width="8.77734375" style="2" customWidth="1"/>
    <col min="9227" max="9227" width="10.5546875" style="2" customWidth="1"/>
    <col min="9228" max="9228" width="8.77734375" style="2" customWidth="1"/>
    <col min="9229" max="9230" width="10.21875" style="2" customWidth="1"/>
    <col min="9231" max="9231" width="10.77734375" style="2" bestFit="1" customWidth="1"/>
    <col min="9232" max="9232" width="9.21875" style="2" bestFit="1"/>
    <col min="9233" max="9234" width="8.77734375" style="2" customWidth="1"/>
    <col min="9235" max="9235" width="10.21875" style="2" bestFit="1" customWidth="1"/>
    <col min="9236" max="9236" width="14" style="2" customWidth="1"/>
    <col min="9237" max="9237" width="16.77734375" style="2" bestFit="1" customWidth="1"/>
    <col min="9238" max="9238" width="8" style="2" bestFit="1" customWidth="1"/>
    <col min="9239" max="9239" width="9" style="2" bestFit="1" customWidth="1"/>
    <col min="9240" max="9240" width="6.21875" style="2" customWidth="1"/>
    <col min="9241" max="9241" width="6.77734375" style="2" customWidth="1"/>
    <col min="9242" max="9242" width="8" style="2" customWidth="1"/>
    <col min="9243" max="9243" width="6" style="2" customWidth="1"/>
    <col min="9244" max="9244" width="7.5546875" style="2" customWidth="1"/>
    <col min="9245" max="9245" width="9.21875" style="2"/>
    <col min="9246" max="9246" width="9.21875" style="2" bestFit="1" customWidth="1"/>
    <col min="9247" max="9247" width="15.77734375" style="2" customWidth="1"/>
    <col min="9248" max="9249" width="9.77734375" style="2" customWidth="1"/>
    <col min="9250" max="9255" width="9.21875" style="2"/>
    <col min="9256" max="9256" width="9.77734375" style="2" bestFit="1" customWidth="1"/>
    <col min="9257" max="9475" width="9.21875" style="2"/>
    <col min="9476" max="9476" width="8.44140625" style="2" customWidth="1"/>
    <col min="9477" max="9477" width="12.77734375" style="2" customWidth="1"/>
    <col min="9478" max="9478" width="15" style="2" bestFit="1" customWidth="1"/>
    <col min="9479" max="9479" width="7.21875" style="2" customWidth="1"/>
    <col min="9480" max="9480" width="10.21875" style="2" customWidth="1"/>
    <col min="9481" max="9481" width="5" style="2" bestFit="1" customWidth="1"/>
    <col min="9482" max="9482" width="8.77734375" style="2" customWidth="1"/>
    <col min="9483" max="9483" width="10.5546875" style="2" customWidth="1"/>
    <col min="9484" max="9484" width="8.77734375" style="2" customWidth="1"/>
    <col min="9485" max="9486" width="10.21875" style="2" customWidth="1"/>
    <col min="9487" max="9487" width="10.77734375" style="2" bestFit="1" customWidth="1"/>
    <col min="9488" max="9488" width="9.21875" style="2" bestFit="1"/>
    <col min="9489" max="9490" width="8.77734375" style="2" customWidth="1"/>
    <col min="9491" max="9491" width="10.21875" style="2" bestFit="1" customWidth="1"/>
    <col min="9492" max="9492" width="14" style="2" customWidth="1"/>
    <col min="9493" max="9493" width="16.77734375" style="2" bestFit="1" customWidth="1"/>
    <col min="9494" max="9494" width="8" style="2" bestFit="1" customWidth="1"/>
    <col min="9495" max="9495" width="9" style="2" bestFit="1" customWidth="1"/>
    <col min="9496" max="9496" width="6.21875" style="2" customWidth="1"/>
    <col min="9497" max="9497" width="6.77734375" style="2" customWidth="1"/>
    <col min="9498" max="9498" width="8" style="2" customWidth="1"/>
    <col min="9499" max="9499" width="6" style="2" customWidth="1"/>
    <col min="9500" max="9500" width="7.5546875" style="2" customWidth="1"/>
    <col min="9501" max="9501" width="9.21875" style="2"/>
    <col min="9502" max="9502" width="9.21875" style="2" bestFit="1" customWidth="1"/>
    <col min="9503" max="9503" width="15.77734375" style="2" customWidth="1"/>
    <col min="9504" max="9505" width="9.77734375" style="2" customWidth="1"/>
    <col min="9506" max="9511" width="9.21875" style="2"/>
    <col min="9512" max="9512" width="9.77734375" style="2" bestFit="1" customWidth="1"/>
    <col min="9513" max="9731" width="9.21875" style="2"/>
    <col min="9732" max="9732" width="8.44140625" style="2" customWidth="1"/>
    <col min="9733" max="9733" width="12.77734375" style="2" customWidth="1"/>
    <col min="9734" max="9734" width="15" style="2" bestFit="1" customWidth="1"/>
    <col min="9735" max="9735" width="7.21875" style="2" customWidth="1"/>
    <col min="9736" max="9736" width="10.21875" style="2" customWidth="1"/>
    <col min="9737" max="9737" width="5" style="2" bestFit="1" customWidth="1"/>
    <col min="9738" max="9738" width="8.77734375" style="2" customWidth="1"/>
    <col min="9739" max="9739" width="10.5546875" style="2" customWidth="1"/>
    <col min="9740" max="9740" width="8.77734375" style="2" customWidth="1"/>
    <col min="9741" max="9742" width="10.21875" style="2" customWidth="1"/>
    <col min="9743" max="9743" width="10.77734375" style="2" bestFit="1" customWidth="1"/>
    <col min="9744" max="9744" width="9.21875" style="2" bestFit="1"/>
    <col min="9745" max="9746" width="8.77734375" style="2" customWidth="1"/>
    <col min="9747" max="9747" width="10.21875" style="2" bestFit="1" customWidth="1"/>
    <col min="9748" max="9748" width="14" style="2" customWidth="1"/>
    <col min="9749" max="9749" width="16.77734375" style="2" bestFit="1" customWidth="1"/>
    <col min="9750" max="9750" width="8" style="2" bestFit="1" customWidth="1"/>
    <col min="9751" max="9751" width="9" style="2" bestFit="1" customWidth="1"/>
    <col min="9752" max="9752" width="6.21875" style="2" customWidth="1"/>
    <col min="9753" max="9753" width="6.77734375" style="2" customWidth="1"/>
    <col min="9754" max="9754" width="8" style="2" customWidth="1"/>
    <col min="9755" max="9755" width="6" style="2" customWidth="1"/>
    <col min="9756" max="9756" width="7.5546875" style="2" customWidth="1"/>
    <col min="9757" max="9757" width="9.21875" style="2"/>
    <col min="9758" max="9758" width="9.21875" style="2" bestFit="1" customWidth="1"/>
    <col min="9759" max="9759" width="15.77734375" style="2" customWidth="1"/>
    <col min="9760" max="9761" width="9.77734375" style="2" customWidth="1"/>
    <col min="9762" max="9767" width="9.21875" style="2"/>
    <col min="9768" max="9768" width="9.77734375" style="2" bestFit="1" customWidth="1"/>
    <col min="9769" max="9987" width="9.21875" style="2"/>
    <col min="9988" max="9988" width="8.44140625" style="2" customWidth="1"/>
    <col min="9989" max="9989" width="12.77734375" style="2" customWidth="1"/>
    <col min="9990" max="9990" width="15" style="2" bestFit="1" customWidth="1"/>
    <col min="9991" max="9991" width="7.21875" style="2" customWidth="1"/>
    <col min="9992" max="9992" width="10.21875" style="2" customWidth="1"/>
    <col min="9993" max="9993" width="5" style="2" bestFit="1" customWidth="1"/>
    <col min="9994" max="9994" width="8.77734375" style="2" customWidth="1"/>
    <col min="9995" max="9995" width="10.5546875" style="2" customWidth="1"/>
    <col min="9996" max="9996" width="8.77734375" style="2" customWidth="1"/>
    <col min="9997" max="9998" width="10.21875" style="2" customWidth="1"/>
    <col min="9999" max="9999" width="10.77734375" style="2" bestFit="1" customWidth="1"/>
    <col min="10000" max="10000" width="9.21875" style="2" bestFit="1"/>
    <col min="10001" max="10002" width="8.77734375" style="2" customWidth="1"/>
    <col min="10003" max="10003" width="10.21875" style="2" bestFit="1" customWidth="1"/>
    <col min="10004" max="10004" width="14" style="2" customWidth="1"/>
    <col min="10005" max="10005" width="16.77734375" style="2" bestFit="1" customWidth="1"/>
    <col min="10006" max="10006" width="8" style="2" bestFit="1" customWidth="1"/>
    <col min="10007" max="10007" width="9" style="2" bestFit="1" customWidth="1"/>
    <col min="10008" max="10008" width="6.21875" style="2" customWidth="1"/>
    <col min="10009" max="10009" width="6.77734375" style="2" customWidth="1"/>
    <col min="10010" max="10010" width="8" style="2" customWidth="1"/>
    <col min="10011" max="10011" width="6" style="2" customWidth="1"/>
    <col min="10012" max="10012" width="7.5546875" style="2" customWidth="1"/>
    <col min="10013" max="10013" width="9.21875" style="2"/>
    <col min="10014" max="10014" width="9.21875" style="2" bestFit="1" customWidth="1"/>
    <col min="10015" max="10015" width="15.77734375" style="2" customWidth="1"/>
    <col min="10016" max="10017" width="9.77734375" style="2" customWidth="1"/>
    <col min="10018" max="10023" width="9.21875" style="2"/>
    <col min="10024" max="10024" width="9.77734375" style="2" bestFit="1" customWidth="1"/>
    <col min="10025" max="10243" width="9.21875" style="2"/>
    <col min="10244" max="10244" width="8.44140625" style="2" customWidth="1"/>
    <col min="10245" max="10245" width="12.77734375" style="2" customWidth="1"/>
    <col min="10246" max="10246" width="15" style="2" bestFit="1" customWidth="1"/>
    <col min="10247" max="10247" width="7.21875" style="2" customWidth="1"/>
    <col min="10248" max="10248" width="10.21875" style="2" customWidth="1"/>
    <col min="10249" max="10249" width="5" style="2" bestFit="1" customWidth="1"/>
    <col min="10250" max="10250" width="8.77734375" style="2" customWidth="1"/>
    <col min="10251" max="10251" width="10.5546875" style="2" customWidth="1"/>
    <col min="10252" max="10252" width="8.77734375" style="2" customWidth="1"/>
    <col min="10253" max="10254" width="10.21875" style="2" customWidth="1"/>
    <col min="10255" max="10255" width="10.77734375" style="2" bestFit="1" customWidth="1"/>
    <col min="10256" max="10256" width="9.21875" style="2" bestFit="1"/>
    <col min="10257" max="10258" width="8.77734375" style="2" customWidth="1"/>
    <col min="10259" max="10259" width="10.21875" style="2" bestFit="1" customWidth="1"/>
    <col min="10260" max="10260" width="14" style="2" customWidth="1"/>
    <col min="10261" max="10261" width="16.77734375" style="2" bestFit="1" customWidth="1"/>
    <col min="10262" max="10262" width="8" style="2" bestFit="1" customWidth="1"/>
    <col min="10263" max="10263" width="9" style="2" bestFit="1" customWidth="1"/>
    <col min="10264" max="10264" width="6.21875" style="2" customWidth="1"/>
    <col min="10265" max="10265" width="6.77734375" style="2" customWidth="1"/>
    <col min="10266" max="10266" width="8" style="2" customWidth="1"/>
    <col min="10267" max="10267" width="6" style="2" customWidth="1"/>
    <col min="10268" max="10268" width="7.5546875" style="2" customWidth="1"/>
    <col min="10269" max="10269" width="9.21875" style="2"/>
    <col min="10270" max="10270" width="9.21875" style="2" bestFit="1" customWidth="1"/>
    <col min="10271" max="10271" width="15.77734375" style="2" customWidth="1"/>
    <col min="10272" max="10273" width="9.77734375" style="2" customWidth="1"/>
    <col min="10274" max="10279" width="9.21875" style="2"/>
    <col min="10280" max="10280" width="9.77734375" style="2" bestFit="1" customWidth="1"/>
    <col min="10281" max="10499" width="9.21875" style="2"/>
    <col min="10500" max="10500" width="8.44140625" style="2" customWidth="1"/>
    <col min="10501" max="10501" width="12.77734375" style="2" customWidth="1"/>
    <col min="10502" max="10502" width="15" style="2" bestFit="1" customWidth="1"/>
    <col min="10503" max="10503" width="7.21875" style="2" customWidth="1"/>
    <col min="10504" max="10504" width="10.21875" style="2" customWidth="1"/>
    <col min="10505" max="10505" width="5" style="2" bestFit="1" customWidth="1"/>
    <col min="10506" max="10506" width="8.77734375" style="2" customWidth="1"/>
    <col min="10507" max="10507" width="10.5546875" style="2" customWidth="1"/>
    <col min="10508" max="10508" width="8.77734375" style="2" customWidth="1"/>
    <col min="10509" max="10510" width="10.21875" style="2" customWidth="1"/>
    <col min="10511" max="10511" width="10.77734375" style="2" bestFit="1" customWidth="1"/>
    <col min="10512" max="10512" width="9.21875" style="2" bestFit="1"/>
    <col min="10513" max="10514" width="8.77734375" style="2" customWidth="1"/>
    <col min="10515" max="10515" width="10.21875" style="2" bestFit="1" customWidth="1"/>
    <col min="10516" max="10516" width="14" style="2" customWidth="1"/>
    <col min="10517" max="10517" width="16.77734375" style="2" bestFit="1" customWidth="1"/>
    <col min="10518" max="10518" width="8" style="2" bestFit="1" customWidth="1"/>
    <col min="10519" max="10519" width="9" style="2" bestFit="1" customWidth="1"/>
    <col min="10520" max="10520" width="6.21875" style="2" customWidth="1"/>
    <col min="10521" max="10521" width="6.77734375" style="2" customWidth="1"/>
    <col min="10522" max="10522" width="8" style="2" customWidth="1"/>
    <col min="10523" max="10523" width="6" style="2" customWidth="1"/>
    <col min="10524" max="10524" width="7.5546875" style="2" customWidth="1"/>
    <col min="10525" max="10525" width="9.21875" style="2"/>
    <col min="10526" max="10526" width="9.21875" style="2" bestFit="1" customWidth="1"/>
    <col min="10527" max="10527" width="15.77734375" style="2" customWidth="1"/>
    <col min="10528" max="10529" width="9.77734375" style="2" customWidth="1"/>
    <col min="10530" max="10535" width="9.21875" style="2"/>
    <col min="10536" max="10536" width="9.77734375" style="2" bestFit="1" customWidth="1"/>
    <col min="10537" max="10755" width="9.21875" style="2"/>
    <col min="10756" max="10756" width="8.44140625" style="2" customWidth="1"/>
    <col min="10757" max="10757" width="12.77734375" style="2" customWidth="1"/>
    <col min="10758" max="10758" width="15" style="2" bestFit="1" customWidth="1"/>
    <col min="10759" max="10759" width="7.21875" style="2" customWidth="1"/>
    <col min="10760" max="10760" width="10.21875" style="2" customWidth="1"/>
    <col min="10761" max="10761" width="5" style="2" bestFit="1" customWidth="1"/>
    <col min="10762" max="10762" width="8.77734375" style="2" customWidth="1"/>
    <col min="10763" max="10763" width="10.5546875" style="2" customWidth="1"/>
    <col min="10764" max="10764" width="8.77734375" style="2" customWidth="1"/>
    <col min="10765" max="10766" width="10.21875" style="2" customWidth="1"/>
    <col min="10767" max="10767" width="10.77734375" style="2" bestFit="1" customWidth="1"/>
    <col min="10768" max="10768" width="9.21875" style="2" bestFit="1"/>
    <col min="10769" max="10770" width="8.77734375" style="2" customWidth="1"/>
    <col min="10771" max="10771" width="10.21875" style="2" bestFit="1" customWidth="1"/>
    <col min="10772" max="10772" width="14" style="2" customWidth="1"/>
    <col min="10773" max="10773" width="16.77734375" style="2" bestFit="1" customWidth="1"/>
    <col min="10774" max="10774" width="8" style="2" bestFit="1" customWidth="1"/>
    <col min="10775" max="10775" width="9" style="2" bestFit="1" customWidth="1"/>
    <col min="10776" max="10776" width="6.21875" style="2" customWidth="1"/>
    <col min="10777" max="10777" width="6.77734375" style="2" customWidth="1"/>
    <col min="10778" max="10778" width="8" style="2" customWidth="1"/>
    <col min="10779" max="10779" width="6" style="2" customWidth="1"/>
    <col min="10780" max="10780" width="7.5546875" style="2" customWidth="1"/>
    <col min="10781" max="10781" width="9.21875" style="2"/>
    <col min="10782" max="10782" width="9.21875" style="2" bestFit="1" customWidth="1"/>
    <col min="10783" max="10783" width="15.77734375" style="2" customWidth="1"/>
    <col min="10784" max="10785" width="9.77734375" style="2" customWidth="1"/>
    <col min="10786" max="10791" width="9.21875" style="2"/>
    <col min="10792" max="10792" width="9.77734375" style="2" bestFit="1" customWidth="1"/>
    <col min="10793" max="11011" width="9.21875" style="2"/>
    <col min="11012" max="11012" width="8.44140625" style="2" customWidth="1"/>
    <col min="11013" max="11013" width="12.77734375" style="2" customWidth="1"/>
    <col min="11014" max="11014" width="15" style="2" bestFit="1" customWidth="1"/>
    <col min="11015" max="11015" width="7.21875" style="2" customWidth="1"/>
    <col min="11016" max="11016" width="10.21875" style="2" customWidth="1"/>
    <col min="11017" max="11017" width="5" style="2" bestFit="1" customWidth="1"/>
    <col min="11018" max="11018" width="8.77734375" style="2" customWidth="1"/>
    <col min="11019" max="11019" width="10.5546875" style="2" customWidth="1"/>
    <col min="11020" max="11020" width="8.77734375" style="2" customWidth="1"/>
    <col min="11021" max="11022" width="10.21875" style="2" customWidth="1"/>
    <col min="11023" max="11023" width="10.77734375" style="2" bestFit="1" customWidth="1"/>
    <col min="11024" max="11024" width="9.21875" style="2" bestFit="1"/>
    <col min="11025" max="11026" width="8.77734375" style="2" customWidth="1"/>
    <col min="11027" max="11027" width="10.21875" style="2" bestFit="1" customWidth="1"/>
    <col min="11028" max="11028" width="14" style="2" customWidth="1"/>
    <col min="11029" max="11029" width="16.77734375" style="2" bestFit="1" customWidth="1"/>
    <col min="11030" max="11030" width="8" style="2" bestFit="1" customWidth="1"/>
    <col min="11031" max="11031" width="9" style="2" bestFit="1" customWidth="1"/>
    <col min="11032" max="11032" width="6.21875" style="2" customWidth="1"/>
    <col min="11033" max="11033" width="6.77734375" style="2" customWidth="1"/>
    <col min="11034" max="11034" width="8" style="2" customWidth="1"/>
    <col min="11035" max="11035" width="6" style="2" customWidth="1"/>
    <col min="11036" max="11036" width="7.5546875" style="2" customWidth="1"/>
    <col min="11037" max="11037" width="9.21875" style="2"/>
    <col min="11038" max="11038" width="9.21875" style="2" bestFit="1" customWidth="1"/>
    <col min="11039" max="11039" width="15.77734375" style="2" customWidth="1"/>
    <col min="11040" max="11041" width="9.77734375" style="2" customWidth="1"/>
    <col min="11042" max="11047" width="9.21875" style="2"/>
    <col min="11048" max="11048" width="9.77734375" style="2" bestFit="1" customWidth="1"/>
    <col min="11049" max="11267" width="9.21875" style="2"/>
    <col min="11268" max="11268" width="8.44140625" style="2" customWidth="1"/>
    <col min="11269" max="11269" width="12.77734375" style="2" customWidth="1"/>
    <col min="11270" max="11270" width="15" style="2" bestFit="1" customWidth="1"/>
    <col min="11271" max="11271" width="7.21875" style="2" customWidth="1"/>
    <col min="11272" max="11272" width="10.21875" style="2" customWidth="1"/>
    <col min="11273" max="11273" width="5" style="2" bestFit="1" customWidth="1"/>
    <col min="11274" max="11274" width="8.77734375" style="2" customWidth="1"/>
    <col min="11275" max="11275" width="10.5546875" style="2" customWidth="1"/>
    <col min="11276" max="11276" width="8.77734375" style="2" customWidth="1"/>
    <col min="11277" max="11278" width="10.21875" style="2" customWidth="1"/>
    <col min="11279" max="11279" width="10.77734375" style="2" bestFit="1" customWidth="1"/>
    <col min="11280" max="11280" width="9.21875" style="2" bestFit="1"/>
    <col min="11281" max="11282" width="8.77734375" style="2" customWidth="1"/>
    <col min="11283" max="11283" width="10.21875" style="2" bestFit="1" customWidth="1"/>
    <col min="11284" max="11284" width="14" style="2" customWidth="1"/>
    <col min="11285" max="11285" width="16.77734375" style="2" bestFit="1" customWidth="1"/>
    <col min="11286" max="11286" width="8" style="2" bestFit="1" customWidth="1"/>
    <col min="11287" max="11287" width="9" style="2" bestFit="1" customWidth="1"/>
    <col min="11288" max="11288" width="6.21875" style="2" customWidth="1"/>
    <col min="11289" max="11289" width="6.77734375" style="2" customWidth="1"/>
    <col min="11290" max="11290" width="8" style="2" customWidth="1"/>
    <col min="11291" max="11291" width="6" style="2" customWidth="1"/>
    <col min="11292" max="11292" width="7.5546875" style="2" customWidth="1"/>
    <col min="11293" max="11293" width="9.21875" style="2"/>
    <col min="11294" max="11294" width="9.21875" style="2" bestFit="1" customWidth="1"/>
    <col min="11295" max="11295" width="15.77734375" style="2" customWidth="1"/>
    <col min="11296" max="11297" width="9.77734375" style="2" customWidth="1"/>
    <col min="11298" max="11303" width="9.21875" style="2"/>
    <col min="11304" max="11304" width="9.77734375" style="2" bestFit="1" customWidth="1"/>
    <col min="11305" max="11523" width="9.21875" style="2"/>
    <col min="11524" max="11524" width="8.44140625" style="2" customWidth="1"/>
    <col min="11525" max="11525" width="12.77734375" style="2" customWidth="1"/>
    <col min="11526" max="11526" width="15" style="2" bestFit="1" customWidth="1"/>
    <col min="11527" max="11527" width="7.21875" style="2" customWidth="1"/>
    <col min="11528" max="11528" width="10.21875" style="2" customWidth="1"/>
    <col min="11529" max="11529" width="5" style="2" bestFit="1" customWidth="1"/>
    <col min="11530" max="11530" width="8.77734375" style="2" customWidth="1"/>
    <col min="11531" max="11531" width="10.5546875" style="2" customWidth="1"/>
    <col min="11532" max="11532" width="8.77734375" style="2" customWidth="1"/>
    <col min="11533" max="11534" width="10.21875" style="2" customWidth="1"/>
    <col min="11535" max="11535" width="10.77734375" style="2" bestFit="1" customWidth="1"/>
    <col min="11536" max="11536" width="9.21875" style="2" bestFit="1"/>
    <col min="11537" max="11538" width="8.77734375" style="2" customWidth="1"/>
    <col min="11539" max="11539" width="10.21875" style="2" bestFit="1" customWidth="1"/>
    <col min="11540" max="11540" width="14" style="2" customWidth="1"/>
    <col min="11541" max="11541" width="16.77734375" style="2" bestFit="1" customWidth="1"/>
    <col min="11542" max="11542" width="8" style="2" bestFit="1" customWidth="1"/>
    <col min="11543" max="11543" width="9" style="2" bestFit="1" customWidth="1"/>
    <col min="11544" max="11544" width="6.21875" style="2" customWidth="1"/>
    <col min="11545" max="11545" width="6.77734375" style="2" customWidth="1"/>
    <col min="11546" max="11546" width="8" style="2" customWidth="1"/>
    <col min="11547" max="11547" width="6" style="2" customWidth="1"/>
    <col min="11548" max="11548" width="7.5546875" style="2" customWidth="1"/>
    <col min="11549" max="11549" width="9.21875" style="2"/>
    <col min="11550" max="11550" width="9.21875" style="2" bestFit="1" customWidth="1"/>
    <col min="11551" max="11551" width="15.77734375" style="2" customWidth="1"/>
    <col min="11552" max="11553" width="9.77734375" style="2" customWidth="1"/>
    <col min="11554" max="11559" width="9.21875" style="2"/>
    <col min="11560" max="11560" width="9.77734375" style="2" bestFit="1" customWidth="1"/>
    <col min="11561" max="11779" width="9.21875" style="2"/>
    <col min="11780" max="11780" width="8.44140625" style="2" customWidth="1"/>
    <col min="11781" max="11781" width="12.77734375" style="2" customWidth="1"/>
    <col min="11782" max="11782" width="15" style="2" bestFit="1" customWidth="1"/>
    <col min="11783" max="11783" width="7.21875" style="2" customWidth="1"/>
    <col min="11784" max="11784" width="10.21875" style="2" customWidth="1"/>
    <col min="11785" max="11785" width="5" style="2" bestFit="1" customWidth="1"/>
    <col min="11786" max="11786" width="8.77734375" style="2" customWidth="1"/>
    <col min="11787" max="11787" width="10.5546875" style="2" customWidth="1"/>
    <col min="11788" max="11788" width="8.77734375" style="2" customWidth="1"/>
    <col min="11789" max="11790" width="10.21875" style="2" customWidth="1"/>
    <col min="11791" max="11791" width="10.77734375" style="2" bestFit="1" customWidth="1"/>
    <col min="11792" max="11792" width="9.21875" style="2" bestFit="1"/>
    <col min="11793" max="11794" width="8.77734375" style="2" customWidth="1"/>
    <col min="11795" max="11795" width="10.21875" style="2" bestFit="1" customWidth="1"/>
    <col min="11796" max="11796" width="14" style="2" customWidth="1"/>
    <col min="11797" max="11797" width="16.77734375" style="2" bestFit="1" customWidth="1"/>
    <col min="11798" max="11798" width="8" style="2" bestFit="1" customWidth="1"/>
    <col min="11799" max="11799" width="9" style="2" bestFit="1" customWidth="1"/>
    <col min="11800" max="11800" width="6.21875" style="2" customWidth="1"/>
    <col min="11801" max="11801" width="6.77734375" style="2" customWidth="1"/>
    <col min="11802" max="11802" width="8" style="2" customWidth="1"/>
    <col min="11803" max="11803" width="6" style="2" customWidth="1"/>
    <col min="11804" max="11804" width="7.5546875" style="2" customWidth="1"/>
    <col min="11805" max="11805" width="9.21875" style="2"/>
    <col min="11806" max="11806" width="9.21875" style="2" bestFit="1" customWidth="1"/>
    <col min="11807" max="11807" width="15.77734375" style="2" customWidth="1"/>
    <col min="11808" max="11809" width="9.77734375" style="2" customWidth="1"/>
    <col min="11810" max="11815" width="9.21875" style="2"/>
    <col min="11816" max="11816" width="9.77734375" style="2" bestFit="1" customWidth="1"/>
    <col min="11817" max="12035" width="9.21875" style="2"/>
    <col min="12036" max="12036" width="8.44140625" style="2" customWidth="1"/>
    <col min="12037" max="12037" width="12.77734375" style="2" customWidth="1"/>
    <col min="12038" max="12038" width="15" style="2" bestFit="1" customWidth="1"/>
    <col min="12039" max="12039" width="7.21875" style="2" customWidth="1"/>
    <col min="12040" max="12040" width="10.21875" style="2" customWidth="1"/>
    <col min="12041" max="12041" width="5" style="2" bestFit="1" customWidth="1"/>
    <col min="12042" max="12042" width="8.77734375" style="2" customWidth="1"/>
    <col min="12043" max="12043" width="10.5546875" style="2" customWidth="1"/>
    <col min="12044" max="12044" width="8.77734375" style="2" customWidth="1"/>
    <col min="12045" max="12046" width="10.21875" style="2" customWidth="1"/>
    <col min="12047" max="12047" width="10.77734375" style="2" bestFit="1" customWidth="1"/>
    <col min="12048" max="12048" width="9.21875" style="2" bestFit="1"/>
    <col min="12049" max="12050" width="8.77734375" style="2" customWidth="1"/>
    <col min="12051" max="12051" width="10.21875" style="2" bestFit="1" customWidth="1"/>
    <col min="12052" max="12052" width="14" style="2" customWidth="1"/>
    <col min="12053" max="12053" width="16.77734375" style="2" bestFit="1" customWidth="1"/>
    <col min="12054" max="12054" width="8" style="2" bestFit="1" customWidth="1"/>
    <col min="12055" max="12055" width="9" style="2" bestFit="1" customWidth="1"/>
    <col min="12056" max="12056" width="6.21875" style="2" customWidth="1"/>
    <col min="12057" max="12057" width="6.77734375" style="2" customWidth="1"/>
    <col min="12058" max="12058" width="8" style="2" customWidth="1"/>
    <col min="12059" max="12059" width="6" style="2" customWidth="1"/>
    <col min="12060" max="12060" width="7.5546875" style="2" customWidth="1"/>
    <col min="12061" max="12061" width="9.21875" style="2"/>
    <col min="12062" max="12062" width="9.21875" style="2" bestFit="1" customWidth="1"/>
    <col min="12063" max="12063" width="15.77734375" style="2" customWidth="1"/>
    <col min="12064" max="12065" width="9.77734375" style="2" customWidth="1"/>
    <col min="12066" max="12071" width="9.21875" style="2"/>
    <col min="12072" max="12072" width="9.77734375" style="2" bestFit="1" customWidth="1"/>
    <col min="12073" max="12291" width="9.21875" style="2"/>
    <col min="12292" max="12292" width="8.44140625" style="2" customWidth="1"/>
    <col min="12293" max="12293" width="12.77734375" style="2" customWidth="1"/>
    <col min="12294" max="12294" width="15" style="2" bestFit="1" customWidth="1"/>
    <col min="12295" max="12295" width="7.21875" style="2" customWidth="1"/>
    <col min="12296" max="12296" width="10.21875" style="2" customWidth="1"/>
    <col min="12297" max="12297" width="5" style="2" bestFit="1" customWidth="1"/>
    <col min="12298" max="12298" width="8.77734375" style="2" customWidth="1"/>
    <col min="12299" max="12299" width="10.5546875" style="2" customWidth="1"/>
    <col min="12300" max="12300" width="8.77734375" style="2" customWidth="1"/>
    <col min="12301" max="12302" width="10.21875" style="2" customWidth="1"/>
    <col min="12303" max="12303" width="10.77734375" style="2" bestFit="1" customWidth="1"/>
    <col min="12304" max="12304" width="9.21875" style="2" bestFit="1"/>
    <col min="12305" max="12306" width="8.77734375" style="2" customWidth="1"/>
    <col min="12307" max="12307" width="10.21875" style="2" bestFit="1" customWidth="1"/>
    <col min="12308" max="12308" width="14" style="2" customWidth="1"/>
    <col min="12309" max="12309" width="16.77734375" style="2" bestFit="1" customWidth="1"/>
    <col min="12310" max="12310" width="8" style="2" bestFit="1" customWidth="1"/>
    <col min="12311" max="12311" width="9" style="2" bestFit="1" customWidth="1"/>
    <col min="12312" max="12312" width="6.21875" style="2" customWidth="1"/>
    <col min="12313" max="12313" width="6.77734375" style="2" customWidth="1"/>
    <col min="12314" max="12314" width="8" style="2" customWidth="1"/>
    <col min="12315" max="12315" width="6" style="2" customWidth="1"/>
    <col min="12316" max="12316" width="7.5546875" style="2" customWidth="1"/>
    <col min="12317" max="12317" width="9.21875" style="2"/>
    <col min="12318" max="12318" width="9.21875" style="2" bestFit="1" customWidth="1"/>
    <col min="12319" max="12319" width="15.77734375" style="2" customWidth="1"/>
    <col min="12320" max="12321" width="9.77734375" style="2" customWidth="1"/>
    <col min="12322" max="12327" width="9.21875" style="2"/>
    <col min="12328" max="12328" width="9.77734375" style="2" bestFit="1" customWidth="1"/>
    <col min="12329" max="12547" width="9.21875" style="2"/>
    <col min="12548" max="12548" width="8.44140625" style="2" customWidth="1"/>
    <col min="12549" max="12549" width="12.77734375" style="2" customWidth="1"/>
    <col min="12550" max="12550" width="15" style="2" bestFit="1" customWidth="1"/>
    <col min="12551" max="12551" width="7.21875" style="2" customWidth="1"/>
    <col min="12552" max="12552" width="10.21875" style="2" customWidth="1"/>
    <col min="12553" max="12553" width="5" style="2" bestFit="1" customWidth="1"/>
    <col min="12554" max="12554" width="8.77734375" style="2" customWidth="1"/>
    <col min="12555" max="12555" width="10.5546875" style="2" customWidth="1"/>
    <col min="12556" max="12556" width="8.77734375" style="2" customWidth="1"/>
    <col min="12557" max="12558" width="10.21875" style="2" customWidth="1"/>
    <col min="12559" max="12559" width="10.77734375" style="2" bestFit="1" customWidth="1"/>
    <col min="12560" max="12560" width="9.21875" style="2" bestFit="1"/>
    <col min="12561" max="12562" width="8.77734375" style="2" customWidth="1"/>
    <col min="12563" max="12563" width="10.21875" style="2" bestFit="1" customWidth="1"/>
    <col min="12564" max="12564" width="14" style="2" customWidth="1"/>
    <col min="12565" max="12565" width="16.77734375" style="2" bestFit="1" customWidth="1"/>
    <col min="12566" max="12566" width="8" style="2" bestFit="1" customWidth="1"/>
    <col min="12567" max="12567" width="9" style="2" bestFit="1" customWidth="1"/>
    <col min="12568" max="12568" width="6.21875" style="2" customWidth="1"/>
    <col min="12569" max="12569" width="6.77734375" style="2" customWidth="1"/>
    <col min="12570" max="12570" width="8" style="2" customWidth="1"/>
    <col min="12571" max="12571" width="6" style="2" customWidth="1"/>
    <col min="12572" max="12572" width="7.5546875" style="2" customWidth="1"/>
    <col min="12573" max="12573" width="9.21875" style="2"/>
    <col min="12574" max="12574" width="9.21875" style="2" bestFit="1" customWidth="1"/>
    <col min="12575" max="12575" width="15.77734375" style="2" customWidth="1"/>
    <col min="12576" max="12577" width="9.77734375" style="2" customWidth="1"/>
    <col min="12578" max="12583" width="9.21875" style="2"/>
    <col min="12584" max="12584" width="9.77734375" style="2" bestFit="1" customWidth="1"/>
    <col min="12585" max="12803" width="9.21875" style="2"/>
    <col min="12804" max="12804" width="8.44140625" style="2" customWidth="1"/>
    <col min="12805" max="12805" width="12.77734375" style="2" customWidth="1"/>
    <col min="12806" max="12806" width="15" style="2" bestFit="1" customWidth="1"/>
    <col min="12807" max="12807" width="7.21875" style="2" customWidth="1"/>
    <col min="12808" max="12808" width="10.21875" style="2" customWidth="1"/>
    <col min="12809" max="12809" width="5" style="2" bestFit="1" customWidth="1"/>
    <col min="12810" max="12810" width="8.77734375" style="2" customWidth="1"/>
    <col min="12811" max="12811" width="10.5546875" style="2" customWidth="1"/>
    <col min="12812" max="12812" width="8.77734375" style="2" customWidth="1"/>
    <col min="12813" max="12814" width="10.21875" style="2" customWidth="1"/>
    <col min="12815" max="12815" width="10.77734375" style="2" bestFit="1" customWidth="1"/>
    <col min="12816" max="12816" width="9.21875" style="2" bestFit="1"/>
    <col min="12817" max="12818" width="8.77734375" style="2" customWidth="1"/>
    <col min="12819" max="12819" width="10.21875" style="2" bestFit="1" customWidth="1"/>
    <col min="12820" max="12820" width="14" style="2" customWidth="1"/>
    <col min="12821" max="12821" width="16.77734375" style="2" bestFit="1" customWidth="1"/>
    <col min="12822" max="12822" width="8" style="2" bestFit="1" customWidth="1"/>
    <col min="12823" max="12823" width="9" style="2" bestFit="1" customWidth="1"/>
    <col min="12824" max="12824" width="6.21875" style="2" customWidth="1"/>
    <col min="12825" max="12825" width="6.77734375" style="2" customWidth="1"/>
    <col min="12826" max="12826" width="8" style="2" customWidth="1"/>
    <col min="12827" max="12827" width="6" style="2" customWidth="1"/>
    <col min="12828" max="12828" width="7.5546875" style="2" customWidth="1"/>
    <col min="12829" max="12829" width="9.21875" style="2"/>
    <col min="12830" max="12830" width="9.21875" style="2" bestFit="1" customWidth="1"/>
    <col min="12831" max="12831" width="15.77734375" style="2" customWidth="1"/>
    <col min="12832" max="12833" width="9.77734375" style="2" customWidth="1"/>
    <col min="12834" max="12839" width="9.21875" style="2"/>
    <col min="12840" max="12840" width="9.77734375" style="2" bestFit="1" customWidth="1"/>
    <col min="12841" max="13059" width="9.21875" style="2"/>
    <col min="13060" max="13060" width="8.44140625" style="2" customWidth="1"/>
    <col min="13061" max="13061" width="12.77734375" style="2" customWidth="1"/>
    <col min="13062" max="13062" width="15" style="2" bestFit="1" customWidth="1"/>
    <col min="13063" max="13063" width="7.21875" style="2" customWidth="1"/>
    <col min="13064" max="13064" width="10.21875" style="2" customWidth="1"/>
    <col min="13065" max="13065" width="5" style="2" bestFit="1" customWidth="1"/>
    <col min="13066" max="13066" width="8.77734375" style="2" customWidth="1"/>
    <col min="13067" max="13067" width="10.5546875" style="2" customWidth="1"/>
    <col min="13068" max="13068" width="8.77734375" style="2" customWidth="1"/>
    <col min="13069" max="13070" width="10.21875" style="2" customWidth="1"/>
    <col min="13071" max="13071" width="10.77734375" style="2" bestFit="1" customWidth="1"/>
    <col min="13072" max="13072" width="9.21875" style="2" bestFit="1"/>
    <col min="13073" max="13074" width="8.77734375" style="2" customWidth="1"/>
    <col min="13075" max="13075" width="10.21875" style="2" bestFit="1" customWidth="1"/>
    <col min="13076" max="13076" width="14" style="2" customWidth="1"/>
    <col min="13077" max="13077" width="16.77734375" style="2" bestFit="1" customWidth="1"/>
    <col min="13078" max="13078" width="8" style="2" bestFit="1" customWidth="1"/>
    <col min="13079" max="13079" width="9" style="2" bestFit="1" customWidth="1"/>
    <col min="13080" max="13080" width="6.21875" style="2" customWidth="1"/>
    <col min="13081" max="13081" width="6.77734375" style="2" customWidth="1"/>
    <col min="13082" max="13082" width="8" style="2" customWidth="1"/>
    <col min="13083" max="13083" width="6" style="2" customWidth="1"/>
    <col min="13084" max="13084" width="7.5546875" style="2" customWidth="1"/>
    <col min="13085" max="13085" width="9.21875" style="2"/>
    <col min="13086" max="13086" width="9.21875" style="2" bestFit="1" customWidth="1"/>
    <col min="13087" max="13087" width="15.77734375" style="2" customWidth="1"/>
    <col min="13088" max="13089" width="9.77734375" style="2" customWidth="1"/>
    <col min="13090" max="13095" width="9.21875" style="2"/>
    <col min="13096" max="13096" width="9.77734375" style="2" bestFit="1" customWidth="1"/>
    <col min="13097" max="13315" width="9.21875" style="2"/>
    <col min="13316" max="13316" width="8.44140625" style="2" customWidth="1"/>
    <col min="13317" max="13317" width="12.77734375" style="2" customWidth="1"/>
    <col min="13318" max="13318" width="15" style="2" bestFit="1" customWidth="1"/>
    <col min="13319" max="13319" width="7.21875" style="2" customWidth="1"/>
    <col min="13320" max="13320" width="10.21875" style="2" customWidth="1"/>
    <col min="13321" max="13321" width="5" style="2" bestFit="1" customWidth="1"/>
    <col min="13322" max="13322" width="8.77734375" style="2" customWidth="1"/>
    <col min="13323" max="13323" width="10.5546875" style="2" customWidth="1"/>
    <col min="13324" max="13324" width="8.77734375" style="2" customWidth="1"/>
    <col min="13325" max="13326" width="10.21875" style="2" customWidth="1"/>
    <col min="13327" max="13327" width="10.77734375" style="2" bestFit="1" customWidth="1"/>
    <col min="13328" max="13328" width="9.21875" style="2" bestFit="1"/>
    <col min="13329" max="13330" width="8.77734375" style="2" customWidth="1"/>
    <col min="13331" max="13331" width="10.21875" style="2" bestFit="1" customWidth="1"/>
    <col min="13332" max="13332" width="14" style="2" customWidth="1"/>
    <col min="13333" max="13333" width="16.77734375" style="2" bestFit="1" customWidth="1"/>
    <col min="13334" max="13334" width="8" style="2" bestFit="1" customWidth="1"/>
    <col min="13335" max="13335" width="9" style="2" bestFit="1" customWidth="1"/>
    <col min="13336" max="13336" width="6.21875" style="2" customWidth="1"/>
    <col min="13337" max="13337" width="6.77734375" style="2" customWidth="1"/>
    <col min="13338" max="13338" width="8" style="2" customWidth="1"/>
    <col min="13339" max="13339" width="6" style="2" customWidth="1"/>
    <col min="13340" max="13340" width="7.5546875" style="2" customWidth="1"/>
    <col min="13341" max="13341" width="9.21875" style="2"/>
    <col min="13342" max="13342" width="9.21875" style="2" bestFit="1" customWidth="1"/>
    <col min="13343" max="13343" width="15.77734375" style="2" customWidth="1"/>
    <col min="13344" max="13345" width="9.77734375" style="2" customWidth="1"/>
    <col min="13346" max="13351" width="9.21875" style="2"/>
    <col min="13352" max="13352" width="9.77734375" style="2" bestFit="1" customWidth="1"/>
    <col min="13353" max="13571" width="9.21875" style="2"/>
    <col min="13572" max="13572" width="8.44140625" style="2" customWidth="1"/>
    <col min="13573" max="13573" width="12.77734375" style="2" customWidth="1"/>
    <col min="13574" max="13574" width="15" style="2" bestFit="1" customWidth="1"/>
    <col min="13575" max="13575" width="7.21875" style="2" customWidth="1"/>
    <col min="13576" max="13576" width="10.21875" style="2" customWidth="1"/>
    <col min="13577" max="13577" width="5" style="2" bestFit="1" customWidth="1"/>
    <col min="13578" max="13578" width="8.77734375" style="2" customWidth="1"/>
    <col min="13579" max="13579" width="10.5546875" style="2" customWidth="1"/>
    <col min="13580" max="13580" width="8.77734375" style="2" customWidth="1"/>
    <col min="13581" max="13582" width="10.21875" style="2" customWidth="1"/>
    <col min="13583" max="13583" width="10.77734375" style="2" bestFit="1" customWidth="1"/>
    <col min="13584" max="13584" width="9.21875" style="2" bestFit="1"/>
    <col min="13585" max="13586" width="8.77734375" style="2" customWidth="1"/>
    <col min="13587" max="13587" width="10.21875" style="2" bestFit="1" customWidth="1"/>
    <col min="13588" max="13588" width="14" style="2" customWidth="1"/>
    <col min="13589" max="13589" width="16.77734375" style="2" bestFit="1" customWidth="1"/>
    <col min="13590" max="13590" width="8" style="2" bestFit="1" customWidth="1"/>
    <col min="13591" max="13591" width="9" style="2" bestFit="1" customWidth="1"/>
    <col min="13592" max="13592" width="6.21875" style="2" customWidth="1"/>
    <col min="13593" max="13593" width="6.77734375" style="2" customWidth="1"/>
    <col min="13594" max="13594" width="8" style="2" customWidth="1"/>
    <col min="13595" max="13595" width="6" style="2" customWidth="1"/>
    <col min="13596" max="13596" width="7.5546875" style="2" customWidth="1"/>
    <col min="13597" max="13597" width="9.21875" style="2"/>
    <col min="13598" max="13598" width="9.21875" style="2" bestFit="1" customWidth="1"/>
    <col min="13599" max="13599" width="15.77734375" style="2" customWidth="1"/>
    <col min="13600" max="13601" width="9.77734375" style="2" customWidth="1"/>
    <col min="13602" max="13607" width="9.21875" style="2"/>
    <col min="13608" max="13608" width="9.77734375" style="2" bestFit="1" customWidth="1"/>
    <col min="13609" max="13827" width="9.21875" style="2"/>
    <col min="13828" max="13828" width="8.44140625" style="2" customWidth="1"/>
    <col min="13829" max="13829" width="12.77734375" style="2" customWidth="1"/>
    <col min="13830" max="13830" width="15" style="2" bestFit="1" customWidth="1"/>
    <col min="13831" max="13831" width="7.21875" style="2" customWidth="1"/>
    <col min="13832" max="13832" width="10.21875" style="2" customWidth="1"/>
    <col min="13833" max="13833" width="5" style="2" bestFit="1" customWidth="1"/>
    <col min="13834" max="13834" width="8.77734375" style="2" customWidth="1"/>
    <col min="13835" max="13835" width="10.5546875" style="2" customWidth="1"/>
    <col min="13836" max="13836" width="8.77734375" style="2" customWidth="1"/>
    <col min="13837" max="13838" width="10.21875" style="2" customWidth="1"/>
    <col min="13839" max="13839" width="10.77734375" style="2" bestFit="1" customWidth="1"/>
    <col min="13840" max="13840" width="9.21875" style="2" bestFit="1"/>
    <col min="13841" max="13842" width="8.77734375" style="2" customWidth="1"/>
    <col min="13843" max="13843" width="10.21875" style="2" bestFit="1" customWidth="1"/>
    <col min="13844" max="13844" width="14" style="2" customWidth="1"/>
    <col min="13845" max="13845" width="16.77734375" style="2" bestFit="1" customWidth="1"/>
    <col min="13846" max="13846" width="8" style="2" bestFit="1" customWidth="1"/>
    <col min="13847" max="13847" width="9" style="2" bestFit="1" customWidth="1"/>
    <col min="13848" max="13848" width="6.21875" style="2" customWidth="1"/>
    <col min="13849" max="13849" width="6.77734375" style="2" customWidth="1"/>
    <col min="13850" max="13850" width="8" style="2" customWidth="1"/>
    <col min="13851" max="13851" width="6" style="2" customWidth="1"/>
    <col min="13852" max="13852" width="7.5546875" style="2" customWidth="1"/>
    <col min="13853" max="13853" width="9.21875" style="2"/>
    <col min="13854" max="13854" width="9.21875" style="2" bestFit="1" customWidth="1"/>
    <col min="13855" max="13855" width="15.77734375" style="2" customWidth="1"/>
    <col min="13856" max="13857" width="9.77734375" style="2" customWidth="1"/>
    <col min="13858" max="13863" width="9.21875" style="2"/>
    <col min="13864" max="13864" width="9.77734375" style="2" bestFit="1" customWidth="1"/>
    <col min="13865" max="14083" width="9.21875" style="2"/>
    <col min="14084" max="14084" width="8.44140625" style="2" customWidth="1"/>
    <col min="14085" max="14085" width="12.77734375" style="2" customWidth="1"/>
    <col min="14086" max="14086" width="15" style="2" bestFit="1" customWidth="1"/>
    <col min="14087" max="14087" width="7.21875" style="2" customWidth="1"/>
    <col min="14088" max="14088" width="10.21875" style="2" customWidth="1"/>
    <col min="14089" max="14089" width="5" style="2" bestFit="1" customWidth="1"/>
    <col min="14090" max="14090" width="8.77734375" style="2" customWidth="1"/>
    <col min="14091" max="14091" width="10.5546875" style="2" customWidth="1"/>
    <col min="14092" max="14092" width="8.77734375" style="2" customWidth="1"/>
    <col min="14093" max="14094" width="10.21875" style="2" customWidth="1"/>
    <col min="14095" max="14095" width="10.77734375" style="2" bestFit="1" customWidth="1"/>
    <col min="14096" max="14096" width="9.21875" style="2" bestFit="1"/>
    <col min="14097" max="14098" width="8.77734375" style="2" customWidth="1"/>
    <col min="14099" max="14099" width="10.21875" style="2" bestFit="1" customWidth="1"/>
    <col min="14100" max="14100" width="14" style="2" customWidth="1"/>
    <col min="14101" max="14101" width="16.77734375" style="2" bestFit="1" customWidth="1"/>
    <col min="14102" max="14102" width="8" style="2" bestFit="1" customWidth="1"/>
    <col min="14103" max="14103" width="9" style="2" bestFit="1" customWidth="1"/>
    <col min="14104" max="14104" width="6.21875" style="2" customWidth="1"/>
    <col min="14105" max="14105" width="6.77734375" style="2" customWidth="1"/>
    <col min="14106" max="14106" width="8" style="2" customWidth="1"/>
    <col min="14107" max="14107" width="6" style="2" customWidth="1"/>
    <col min="14108" max="14108" width="7.5546875" style="2" customWidth="1"/>
    <col min="14109" max="14109" width="9.21875" style="2"/>
    <col min="14110" max="14110" width="9.21875" style="2" bestFit="1" customWidth="1"/>
    <col min="14111" max="14111" width="15.77734375" style="2" customWidth="1"/>
    <col min="14112" max="14113" width="9.77734375" style="2" customWidth="1"/>
    <col min="14114" max="14119" width="9.21875" style="2"/>
    <col min="14120" max="14120" width="9.77734375" style="2" bestFit="1" customWidth="1"/>
    <col min="14121" max="14339" width="9.21875" style="2"/>
    <col min="14340" max="14340" width="8.44140625" style="2" customWidth="1"/>
    <col min="14341" max="14341" width="12.77734375" style="2" customWidth="1"/>
    <col min="14342" max="14342" width="15" style="2" bestFit="1" customWidth="1"/>
    <col min="14343" max="14343" width="7.21875" style="2" customWidth="1"/>
    <col min="14344" max="14344" width="10.21875" style="2" customWidth="1"/>
    <col min="14345" max="14345" width="5" style="2" bestFit="1" customWidth="1"/>
    <col min="14346" max="14346" width="8.77734375" style="2" customWidth="1"/>
    <col min="14347" max="14347" width="10.5546875" style="2" customWidth="1"/>
    <col min="14348" max="14348" width="8.77734375" style="2" customWidth="1"/>
    <col min="14349" max="14350" width="10.21875" style="2" customWidth="1"/>
    <col min="14351" max="14351" width="10.77734375" style="2" bestFit="1" customWidth="1"/>
    <col min="14352" max="14352" width="9.21875" style="2" bestFit="1"/>
    <col min="14353" max="14354" width="8.77734375" style="2" customWidth="1"/>
    <col min="14355" max="14355" width="10.21875" style="2" bestFit="1" customWidth="1"/>
    <col min="14356" max="14356" width="14" style="2" customWidth="1"/>
    <col min="14357" max="14357" width="16.77734375" style="2" bestFit="1" customWidth="1"/>
    <col min="14358" max="14358" width="8" style="2" bestFit="1" customWidth="1"/>
    <col min="14359" max="14359" width="9" style="2" bestFit="1" customWidth="1"/>
    <col min="14360" max="14360" width="6.21875" style="2" customWidth="1"/>
    <col min="14361" max="14361" width="6.77734375" style="2" customWidth="1"/>
    <col min="14362" max="14362" width="8" style="2" customWidth="1"/>
    <col min="14363" max="14363" width="6" style="2" customWidth="1"/>
    <col min="14364" max="14364" width="7.5546875" style="2" customWidth="1"/>
    <col min="14365" max="14365" width="9.21875" style="2"/>
    <col min="14366" max="14366" width="9.21875" style="2" bestFit="1" customWidth="1"/>
    <col min="14367" max="14367" width="15.77734375" style="2" customWidth="1"/>
    <col min="14368" max="14369" width="9.77734375" style="2" customWidth="1"/>
    <col min="14370" max="14375" width="9.21875" style="2"/>
    <col min="14376" max="14376" width="9.77734375" style="2" bestFit="1" customWidth="1"/>
    <col min="14377" max="14595" width="9.21875" style="2"/>
    <col min="14596" max="14596" width="8.44140625" style="2" customWidth="1"/>
    <col min="14597" max="14597" width="12.77734375" style="2" customWidth="1"/>
    <col min="14598" max="14598" width="15" style="2" bestFit="1" customWidth="1"/>
    <col min="14599" max="14599" width="7.21875" style="2" customWidth="1"/>
    <col min="14600" max="14600" width="10.21875" style="2" customWidth="1"/>
    <col min="14601" max="14601" width="5" style="2" bestFit="1" customWidth="1"/>
    <col min="14602" max="14602" width="8.77734375" style="2" customWidth="1"/>
    <col min="14603" max="14603" width="10.5546875" style="2" customWidth="1"/>
    <col min="14604" max="14604" width="8.77734375" style="2" customWidth="1"/>
    <col min="14605" max="14606" width="10.21875" style="2" customWidth="1"/>
    <col min="14607" max="14607" width="10.77734375" style="2" bestFit="1" customWidth="1"/>
    <col min="14608" max="14608" width="9.21875" style="2" bestFit="1"/>
    <col min="14609" max="14610" width="8.77734375" style="2" customWidth="1"/>
    <col min="14611" max="14611" width="10.21875" style="2" bestFit="1" customWidth="1"/>
    <col min="14612" max="14612" width="14" style="2" customWidth="1"/>
    <col min="14613" max="14613" width="16.77734375" style="2" bestFit="1" customWidth="1"/>
    <col min="14614" max="14614" width="8" style="2" bestFit="1" customWidth="1"/>
    <col min="14615" max="14615" width="9" style="2" bestFit="1" customWidth="1"/>
    <col min="14616" max="14616" width="6.21875" style="2" customWidth="1"/>
    <col min="14617" max="14617" width="6.77734375" style="2" customWidth="1"/>
    <col min="14618" max="14618" width="8" style="2" customWidth="1"/>
    <col min="14619" max="14619" width="6" style="2" customWidth="1"/>
    <col min="14620" max="14620" width="7.5546875" style="2" customWidth="1"/>
    <col min="14621" max="14621" width="9.21875" style="2"/>
    <col min="14622" max="14622" width="9.21875" style="2" bestFit="1" customWidth="1"/>
    <col min="14623" max="14623" width="15.77734375" style="2" customWidth="1"/>
    <col min="14624" max="14625" width="9.77734375" style="2" customWidth="1"/>
    <col min="14626" max="14631" width="9.21875" style="2"/>
    <col min="14632" max="14632" width="9.77734375" style="2" bestFit="1" customWidth="1"/>
    <col min="14633" max="14851" width="9.21875" style="2"/>
    <col min="14852" max="14852" width="8.44140625" style="2" customWidth="1"/>
    <col min="14853" max="14853" width="12.77734375" style="2" customWidth="1"/>
    <col min="14854" max="14854" width="15" style="2" bestFit="1" customWidth="1"/>
    <col min="14855" max="14855" width="7.21875" style="2" customWidth="1"/>
    <col min="14856" max="14856" width="10.21875" style="2" customWidth="1"/>
    <col min="14857" max="14857" width="5" style="2" bestFit="1" customWidth="1"/>
    <col min="14858" max="14858" width="8.77734375" style="2" customWidth="1"/>
    <col min="14859" max="14859" width="10.5546875" style="2" customWidth="1"/>
    <col min="14860" max="14860" width="8.77734375" style="2" customWidth="1"/>
    <col min="14861" max="14862" width="10.21875" style="2" customWidth="1"/>
    <col min="14863" max="14863" width="10.77734375" style="2" bestFit="1" customWidth="1"/>
    <col min="14864" max="14864" width="9.21875" style="2" bestFit="1"/>
    <col min="14865" max="14866" width="8.77734375" style="2" customWidth="1"/>
    <col min="14867" max="14867" width="10.21875" style="2" bestFit="1" customWidth="1"/>
    <col min="14868" max="14868" width="14" style="2" customWidth="1"/>
    <col min="14869" max="14869" width="16.77734375" style="2" bestFit="1" customWidth="1"/>
    <col min="14870" max="14870" width="8" style="2" bestFit="1" customWidth="1"/>
    <col min="14871" max="14871" width="9" style="2" bestFit="1" customWidth="1"/>
    <col min="14872" max="14872" width="6.21875" style="2" customWidth="1"/>
    <col min="14873" max="14873" width="6.77734375" style="2" customWidth="1"/>
    <col min="14874" max="14874" width="8" style="2" customWidth="1"/>
    <col min="14875" max="14875" width="6" style="2" customWidth="1"/>
    <col min="14876" max="14876" width="7.5546875" style="2" customWidth="1"/>
    <col min="14877" max="14877" width="9.21875" style="2"/>
    <col min="14878" max="14878" width="9.21875" style="2" bestFit="1" customWidth="1"/>
    <col min="14879" max="14879" width="15.77734375" style="2" customWidth="1"/>
    <col min="14880" max="14881" width="9.77734375" style="2" customWidth="1"/>
    <col min="14882" max="14887" width="9.21875" style="2"/>
    <col min="14888" max="14888" width="9.77734375" style="2" bestFit="1" customWidth="1"/>
    <col min="14889" max="15107" width="9.21875" style="2"/>
    <col min="15108" max="15108" width="8.44140625" style="2" customWidth="1"/>
    <col min="15109" max="15109" width="12.77734375" style="2" customWidth="1"/>
    <col min="15110" max="15110" width="15" style="2" bestFit="1" customWidth="1"/>
    <col min="15111" max="15111" width="7.21875" style="2" customWidth="1"/>
    <col min="15112" max="15112" width="10.21875" style="2" customWidth="1"/>
    <col min="15113" max="15113" width="5" style="2" bestFit="1" customWidth="1"/>
    <col min="15114" max="15114" width="8.77734375" style="2" customWidth="1"/>
    <col min="15115" max="15115" width="10.5546875" style="2" customWidth="1"/>
    <col min="15116" max="15116" width="8.77734375" style="2" customWidth="1"/>
    <col min="15117" max="15118" width="10.21875" style="2" customWidth="1"/>
    <col min="15119" max="15119" width="10.77734375" style="2" bestFit="1" customWidth="1"/>
    <col min="15120" max="15120" width="9.21875" style="2" bestFit="1"/>
    <col min="15121" max="15122" width="8.77734375" style="2" customWidth="1"/>
    <col min="15123" max="15123" width="10.21875" style="2" bestFit="1" customWidth="1"/>
    <col min="15124" max="15124" width="14" style="2" customWidth="1"/>
    <col min="15125" max="15125" width="16.77734375" style="2" bestFit="1" customWidth="1"/>
    <col min="15126" max="15126" width="8" style="2" bestFit="1" customWidth="1"/>
    <col min="15127" max="15127" width="9" style="2" bestFit="1" customWidth="1"/>
    <col min="15128" max="15128" width="6.21875" style="2" customWidth="1"/>
    <col min="15129" max="15129" width="6.77734375" style="2" customWidth="1"/>
    <col min="15130" max="15130" width="8" style="2" customWidth="1"/>
    <col min="15131" max="15131" width="6" style="2" customWidth="1"/>
    <col min="15132" max="15132" width="7.5546875" style="2" customWidth="1"/>
    <col min="15133" max="15133" width="9.21875" style="2"/>
    <col min="15134" max="15134" width="9.21875" style="2" bestFit="1" customWidth="1"/>
    <col min="15135" max="15135" width="15.77734375" style="2" customWidth="1"/>
    <col min="15136" max="15137" width="9.77734375" style="2" customWidth="1"/>
    <col min="15138" max="15143" width="9.21875" style="2"/>
    <col min="15144" max="15144" width="9.77734375" style="2" bestFit="1" customWidth="1"/>
    <col min="15145" max="15363" width="9.21875" style="2"/>
    <col min="15364" max="15364" width="8.44140625" style="2" customWidth="1"/>
    <col min="15365" max="15365" width="12.77734375" style="2" customWidth="1"/>
    <col min="15366" max="15366" width="15" style="2" bestFit="1" customWidth="1"/>
    <col min="15367" max="15367" width="7.21875" style="2" customWidth="1"/>
    <col min="15368" max="15368" width="10.21875" style="2" customWidth="1"/>
    <col min="15369" max="15369" width="5" style="2" bestFit="1" customWidth="1"/>
    <col min="15370" max="15370" width="8.77734375" style="2" customWidth="1"/>
    <col min="15371" max="15371" width="10.5546875" style="2" customWidth="1"/>
    <col min="15372" max="15372" width="8.77734375" style="2" customWidth="1"/>
    <col min="15373" max="15374" width="10.21875" style="2" customWidth="1"/>
    <col min="15375" max="15375" width="10.77734375" style="2" bestFit="1" customWidth="1"/>
    <col min="15376" max="15376" width="9.21875" style="2" bestFit="1"/>
    <col min="15377" max="15378" width="8.77734375" style="2" customWidth="1"/>
    <col min="15379" max="15379" width="10.21875" style="2" bestFit="1" customWidth="1"/>
    <col min="15380" max="15380" width="14" style="2" customWidth="1"/>
    <col min="15381" max="15381" width="16.77734375" style="2" bestFit="1" customWidth="1"/>
    <col min="15382" max="15382" width="8" style="2" bestFit="1" customWidth="1"/>
    <col min="15383" max="15383" width="9" style="2" bestFit="1" customWidth="1"/>
    <col min="15384" max="15384" width="6.21875" style="2" customWidth="1"/>
    <col min="15385" max="15385" width="6.77734375" style="2" customWidth="1"/>
    <col min="15386" max="15386" width="8" style="2" customWidth="1"/>
    <col min="15387" max="15387" width="6" style="2" customWidth="1"/>
    <col min="15388" max="15388" width="7.5546875" style="2" customWidth="1"/>
    <col min="15389" max="15389" width="9.21875" style="2"/>
    <col min="15390" max="15390" width="9.21875" style="2" bestFit="1" customWidth="1"/>
    <col min="15391" max="15391" width="15.77734375" style="2" customWidth="1"/>
    <col min="15392" max="15393" width="9.77734375" style="2" customWidth="1"/>
    <col min="15394" max="15399" width="9.21875" style="2"/>
    <col min="15400" max="15400" width="9.77734375" style="2" bestFit="1" customWidth="1"/>
    <col min="15401" max="15619" width="9.21875" style="2"/>
    <col min="15620" max="15620" width="8.44140625" style="2" customWidth="1"/>
    <col min="15621" max="15621" width="12.77734375" style="2" customWidth="1"/>
    <col min="15622" max="15622" width="15" style="2" bestFit="1" customWidth="1"/>
    <col min="15623" max="15623" width="7.21875" style="2" customWidth="1"/>
    <col min="15624" max="15624" width="10.21875" style="2" customWidth="1"/>
    <col min="15625" max="15625" width="5" style="2" bestFit="1" customWidth="1"/>
    <col min="15626" max="15626" width="8.77734375" style="2" customWidth="1"/>
    <col min="15627" max="15627" width="10.5546875" style="2" customWidth="1"/>
    <col min="15628" max="15628" width="8.77734375" style="2" customWidth="1"/>
    <col min="15629" max="15630" width="10.21875" style="2" customWidth="1"/>
    <col min="15631" max="15631" width="10.77734375" style="2" bestFit="1" customWidth="1"/>
    <col min="15632" max="15632" width="9.21875" style="2" bestFit="1"/>
    <col min="15633" max="15634" width="8.77734375" style="2" customWidth="1"/>
    <col min="15635" max="15635" width="10.21875" style="2" bestFit="1" customWidth="1"/>
    <col min="15636" max="15636" width="14" style="2" customWidth="1"/>
    <col min="15637" max="15637" width="16.77734375" style="2" bestFit="1" customWidth="1"/>
    <col min="15638" max="15638" width="8" style="2" bestFit="1" customWidth="1"/>
    <col min="15639" max="15639" width="9" style="2" bestFit="1" customWidth="1"/>
    <col min="15640" max="15640" width="6.21875" style="2" customWidth="1"/>
    <col min="15641" max="15641" width="6.77734375" style="2" customWidth="1"/>
    <col min="15642" max="15642" width="8" style="2" customWidth="1"/>
    <col min="15643" max="15643" width="6" style="2" customWidth="1"/>
    <col min="15644" max="15644" width="7.5546875" style="2" customWidth="1"/>
    <col min="15645" max="15645" width="9.21875" style="2"/>
    <col min="15646" max="15646" width="9.21875" style="2" bestFit="1" customWidth="1"/>
    <col min="15647" max="15647" width="15.77734375" style="2" customWidth="1"/>
    <col min="15648" max="15649" width="9.77734375" style="2" customWidth="1"/>
    <col min="15650" max="15655" width="9.21875" style="2"/>
    <col min="15656" max="15656" width="9.77734375" style="2" bestFit="1" customWidth="1"/>
    <col min="15657" max="15875" width="9.21875" style="2"/>
    <col min="15876" max="15876" width="8.44140625" style="2" customWidth="1"/>
    <col min="15877" max="15877" width="12.77734375" style="2" customWidth="1"/>
    <col min="15878" max="15878" width="15" style="2" bestFit="1" customWidth="1"/>
    <col min="15879" max="15879" width="7.21875" style="2" customWidth="1"/>
    <col min="15880" max="15880" width="10.21875" style="2" customWidth="1"/>
    <col min="15881" max="15881" width="5" style="2" bestFit="1" customWidth="1"/>
    <col min="15882" max="15882" width="8.77734375" style="2" customWidth="1"/>
    <col min="15883" max="15883" width="10.5546875" style="2" customWidth="1"/>
    <col min="15884" max="15884" width="8.77734375" style="2" customWidth="1"/>
    <col min="15885" max="15886" width="10.21875" style="2" customWidth="1"/>
    <col min="15887" max="15887" width="10.77734375" style="2" bestFit="1" customWidth="1"/>
    <col min="15888" max="15888" width="9.21875" style="2" bestFit="1"/>
    <col min="15889" max="15890" width="8.77734375" style="2" customWidth="1"/>
    <col min="15891" max="15891" width="10.21875" style="2" bestFit="1" customWidth="1"/>
    <col min="15892" max="15892" width="14" style="2" customWidth="1"/>
    <col min="15893" max="15893" width="16.77734375" style="2" bestFit="1" customWidth="1"/>
    <col min="15894" max="15894" width="8" style="2" bestFit="1" customWidth="1"/>
    <col min="15895" max="15895" width="9" style="2" bestFit="1" customWidth="1"/>
    <col min="15896" max="15896" width="6.21875" style="2" customWidth="1"/>
    <col min="15897" max="15897" width="6.77734375" style="2" customWidth="1"/>
    <col min="15898" max="15898" width="8" style="2" customWidth="1"/>
    <col min="15899" max="15899" width="6" style="2" customWidth="1"/>
    <col min="15900" max="15900" width="7.5546875" style="2" customWidth="1"/>
    <col min="15901" max="15901" width="9.21875" style="2"/>
    <col min="15902" max="15902" width="9.21875" style="2" bestFit="1" customWidth="1"/>
    <col min="15903" max="15903" width="15.77734375" style="2" customWidth="1"/>
    <col min="15904" max="15905" width="9.77734375" style="2" customWidth="1"/>
    <col min="15906" max="15911" width="9.21875" style="2"/>
    <col min="15912" max="15912" width="9.77734375" style="2" bestFit="1" customWidth="1"/>
    <col min="15913" max="16131" width="9.21875" style="2"/>
    <col min="16132" max="16132" width="8.44140625" style="2" customWidth="1"/>
    <col min="16133" max="16133" width="12.77734375" style="2" customWidth="1"/>
    <col min="16134" max="16134" width="15" style="2" bestFit="1" customWidth="1"/>
    <col min="16135" max="16135" width="7.21875" style="2" customWidth="1"/>
    <col min="16136" max="16136" width="10.21875" style="2" customWidth="1"/>
    <col min="16137" max="16137" width="5" style="2" bestFit="1" customWidth="1"/>
    <col min="16138" max="16138" width="8.77734375" style="2" customWidth="1"/>
    <col min="16139" max="16139" width="10.5546875" style="2" customWidth="1"/>
    <col min="16140" max="16140" width="8.77734375" style="2" customWidth="1"/>
    <col min="16141" max="16142" width="10.21875" style="2" customWidth="1"/>
    <col min="16143" max="16143" width="10.77734375" style="2" bestFit="1" customWidth="1"/>
    <col min="16144" max="16144" width="9.21875" style="2" bestFit="1"/>
    <col min="16145" max="16146" width="8.77734375" style="2" customWidth="1"/>
    <col min="16147" max="16147" width="10.21875" style="2" bestFit="1" customWidth="1"/>
    <col min="16148" max="16148" width="14" style="2" customWidth="1"/>
    <col min="16149" max="16149" width="16.77734375" style="2" bestFit="1" customWidth="1"/>
    <col min="16150" max="16150" width="8" style="2" bestFit="1" customWidth="1"/>
    <col min="16151" max="16151" width="9" style="2" bestFit="1" customWidth="1"/>
    <col min="16152" max="16152" width="6.21875" style="2" customWidth="1"/>
    <col min="16153" max="16153" width="6.77734375" style="2" customWidth="1"/>
    <col min="16154" max="16154" width="8" style="2" customWidth="1"/>
    <col min="16155" max="16155" width="6" style="2" customWidth="1"/>
    <col min="16156" max="16156" width="7.5546875" style="2" customWidth="1"/>
    <col min="16157" max="16157" width="9.21875" style="2"/>
    <col min="16158" max="16158" width="9.21875" style="2" bestFit="1" customWidth="1"/>
    <col min="16159" max="16159" width="15.77734375" style="2" customWidth="1"/>
    <col min="16160" max="16161" width="9.77734375" style="2" customWidth="1"/>
    <col min="16162" max="16167" width="9.21875" style="2"/>
    <col min="16168" max="16168" width="9.77734375" style="2" bestFit="1" customWidth="1"/>
    <col min="16169" max="16384" width="9.21875" style="2"/>
  </cols>
  <sheetData>
    <row r="1" spans="1:40" x14ac:dyDescent="0.3">
      <c r="A1" s="161" t="s">
        <v>29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</row>
    <row r="2" spans="1:40" x14ac:dyDescent="0.3">
      <c r="A2" s="161" t="s">
        <v>30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36">
        <f>AD19-AF19</f>
        <v>0</v>
      </c>
    </row>
    <row r="3" spans="1:40" ht="13.8" thickBot="1" x14ac:dyDescent="0.35">
      <c r="A3" s="161" t="s">
        <v>31</v>
      </c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</row>
    <row r="4" spans="1:40" s="17" customFormat="1" ht="13.8" thickBot="1" x14ac:dyDescent="0.35">
      <c r="A4" s="162" t="s">
        <v>32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4"/>
      <c r="W4" s="162" t="s">
        <v>33</v>
      </c>
      <c r="X4" s="163"/>
      <c r="Y4" s="163"/>
      <c r="Z4" s="163"/>
      <c r="AA4" s="163"/>
      <c r="AB4" s="163"/>
      <c r="AC4" s="163"/>
      <c r="AD4" s="163"/>
      <c r="AE4" s="164"/>
      <c r="AG4" s="156" t="s">
        <v>34</v>
      </c>
      <c r="AH4" s="157"/>
      <c r="AI4" s="158"/>
      <c r="AJ4" s="26" t="s">
        <v>96</v>
      </c>
    </row>
    <row r="5" spans="1:40" hidden="1" x14ac:dyDescent="0.3">
      <c r="A5" s="166" t="s">
        <v>35</v>
      </c>
      <c r="B5" s="16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8"/>
      <c r="W5" s="166" t="s">
        <v>36</v>
      </c>
      <c r="X5" s="167"/>
      <c r="Y5" s="167"/>
      <c r="Z5" s="167"/>
      <c r="AA5" s="167"/>
      <c r="AB5" s="167"/>
      <c r="AC5" s="167"/>
      <c r="AD5" s="167"/>
      <c r="AE5" s="168"/>
      <c r="AG5" s="175">
        <v>31</v>
      </c>
      <c r="AH5" s="176"/>
      <c r="AI5" s="177"/>
      <c r="AJ5" s="159">
        <v>46143</v>
      </c>
    </row>
    <row r="6" spans="1:40" ht="15" hidden="1" customHeight="1" x14ac:dyDescent="0.3">
      <c r="A6" s="169"/>
      <c r="B6" s="170"/>
      <c r="C6" s="170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  <c r="U6" s="171"/>
      <c r="W6" s="169"/>
      <c r="X6" s="170"/>
      <c r="Y6" s="170"/>
      <c r="Z6" s="170"/>
      <c r="AA6" s="170"/>
      <c r="AB6" s="170"/>
      <c r="AC6" s="170"/>
      <c r="AD6" s="170"/>
      <c r="AE6" s="171"/>
      <c r="AG6" s="178"/>
      <c r="AH6" s="161"/>
      <c r="AI6" s="179"/>
      <c r="AJ6" s="159"/>
    </row>
    <row r="7" spans="1:40" ht="15" customHeight="1" x14ac:dyDescent="0.3">
      <c r="A7" s="169"/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1"/>
      <c r="W7" s="169"/>
      <c r="X7" s="170"/>
      <c r="Y7" s="170"/>
      <c r="Z7" s="170"/>
      <c r="AA7" s="170"/>
      <c r="AB7" s="170"/>
      <c r="AC7" s="170"/>
      <c r="AD7" s="170"/>
      <c r="AE7" s="171"/>
      <c r="AG7" s="178"/>
      <c r="AH7" s="161"/>
      <c r="AI7" s="179"/>
      <c r="AJ7" s="159"/>
    </row>
    <row r="8" spans="1:40" ht="15.75" hidden="1" customHeight="1" thickBot="1" x14ac:dyDescent="0.35">
      <c r="A8" s="172"/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4"/>
      <c r="W8" s="172"/>
      <c r="X8" s="173"/>
      <c r="Y8" s="173"/>
      <c r="Z8" s="173"/>
      <c r="AA8" s="173"/>
      <c r="AB8" s="173"/>
      <c r="AC8" s="173"/>
      <c r="AD8" s="173"/>
      <c r="AE8" s="174"/>
      <c r="AG8" s="180"/>
      <c r="AH8" s="181"/>
      <c r="AI8" s="182"/>
      <c r="AJ8" s="160"/>
    </row>
    <row r="9" spans="1:40" ht="17.399999999999999" x14ac:dyDescent="0.3">
      <c r="A9" s="183" t="s">
        <v>149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</row>
    <row r="10" spans="1:40" ht="79.2" x14ac:dyDescent="0.3">
      <c r="A10" s="3" t="s">
        <v>37</v>
      </c>
      <c r="B10" s="3" t="s">
        <v>38</v>
      </c>
      <c r="C10" s="4" t="s">
        <v>39</v>
      </c>
      <c r="D10" s="4" t="s">
        <v>40</v>
      </c>
      <c r="E10" s="4" t="s">
        <v>93</v>
      </c>
      <c r="F10" s="4" t="s">
        <v>27</v>
      </c>
      <c r="G10" s="4" t="s">
        <v>101</v>
      </c>
      <c r="H10" s="4" t="s">
        <v>41</v>
      </c>
      <c r="I10" s="5" t="s">
        <v>42</v>
      </c>
      <c r="J10" s="6" t="s">
        <v>43</v>
      </c>
      <c r="K10" s="5" t="s">
        <v>15</v>
      </c>
      <c r="L10" s="5" t="s">
        <v>16</v>
      </c>
      <c r="M10" s="5" t="s">
        <v>18</v>
      </c>
      <c r="N10" s="5" t="s">
        <v>17</v>
      </c>
      <c r="O10" s="6" t="s">
        <v>44</v>
      </c>
      <c r="P10" s="6" t="s">
        <v>45</v>
      </c>
      <c r="Q10" s="5" t="s">
        <v>46</v>
      </c>
      <c r="R10" s="5" t="s">
        <v>47</v>
      </c>
      <c r="S10" s="6" t="s">
        <v>48</v>
      </c>
      <c r="T10" s="5" t="s">
        <v>49</v>
      </c>
      <c r="U10" s="6" t="s">
        <v>50</v>
      </c>
      <c r="V10" s="5" t="s">
        <v>51</v>
      </c>
      <c r="W10" s="5" t="s">
        <v>52</v>
      </c>
      <c r="X10" s="6" t="s">
        <v>53</v>
      </c>
      <c r="Y10" s="5" t="s">
        <v>54</v>
      </c>
      <c r="Z10" s="6" t="s">
        <v>55</v>
      </c>
      <c r="AA10" s="6" t="s">
        <v>22</v>
      </c>
      <c r="AB10" s="6" t="s">
        <v>56</v>
      </c>
      <c r="AC10" s="5" t="s">
        <v>57</v>
      </c>
      <c r="AD10" s="5" t="s">
        <v>58</v>
      </c>
      <c r="AE10" s="6" t="s">
        <v>59</v>
      </c>
      <c r="AF10" s="5" t="s">
        <v>60</v>
      </c>
      <c r="AG10" s="5" t="s">
        <v>61</v>
      </c>
      <c r="AH10" s="5" t="s">
        <v>62</v>
      </c>
      <c r="AI10" s="5" t="s">
        <v>63</v>
      </c>
      <c r="AJ10" s="5" t="s">
        <v>64</v>
      </c>
      <c r="AK10" s="5" t="s">
        <v>65</v>
      </c>
      <c r="AL10" s="5" t="s">
        <v>66</v>
      </c>
      <c r="AM10" s="5" t="s">
        <v>67</v>
      </c>
      <c r="AN10" s="3" t="s">
        <v>68</v>
      </c>
    </row>
    <row r="11" spans="1:40" x14ac:dyDescent="0.3">
      <c r="A11" s="3">
        <v>7</v>
      </c>
      <c r="B11" s="3">
        <v>8</v>
      </c>
      <c r="C11" s="3">
        <v>9</v>
      </c>
      <c r="D11" s="4">
        <v>10</v>
      </c>
      <c r="E11" s="4"/>
      <c r="F11" s="4"/>
      <c r="G11" s="4"/>
      <c r="H11" s="4">
        <v>11</v>
      </c>
      <c r="I11" s="4">
        <v>12</v>
      </c>
      <c r="J11" s="3">
        <v>13</v>
      </c>
      <c r="K11" s="3">
        <v>14</v>
      </c>
      <c r="L11" s="3">
        <v>15</v>
      </c>
      <c r="M11" s="3">
        <v>16</v>
      </c>
      <c r="N11" s="3">
        <v>17</v>
      </c>
      <c r="O11" s="3">
        <v>18</v>
      </c>
      <c r="P11" s="3">
        <v>19</v>
      </c>
      <c r="Q11" s="3">
        <v>20</v>
      </c>
      <c r="R11" s="3">
        <v>21</v>
      </c>
      <c r="S11" s="3">
        <v>22</v>
      </c>
      <c r="T11" s="3">
        <v>23</v>
      </c>
      <c r="U11" s="3">
        <v>24</v>
      </c>
      <c r="V11" s="3">
        <v>25</v>
      </c>
      <c r="W11" s="3">
        <v>26</v>
      </c>
      <c r="X11" s="3">
        <v>27</v>
      </c>
      <c r="Y11" s="3">
        <v>28</v>
      </c>
      <c r="Z11" s="3">
        <v>29</v>
      </c>
      <c r="AA11" s="3">
        <v>30</v>
      </c>
      <c r="AB11" s="3">
        <v>31</v>
      </c>
      <c r="AC11" s="4">
        <v>32</v>
      </c>
      <c r="AD11" s="4">
        <v>33</v>
      </c>
      <c r="AE11" s="3">
        <v>34</v>
      </c>
      <c r="AF11" s="6"/>
      <c r="AG11" s="6"/>
      <c r="AH11" s="6"/>
      <c r="AI11" s="6"/>
      <c r="AJ11" s="6"/>
      <c r="AK11" s="6"/>
      <c r="AL11" s="6"/>
      <c r="AM11" s="6"/>
      <c r="AN11" s="3"/>
    </row>
    <row r="12" spans="1:40" x14ac:dyDescent="0.3">
      <c r="A12" s="3"/>
      <c r="B12" s="3"/>
      <c r="C12" s="3"/>
      <c r="D12" s="4"/>
      <c r="E12" s="4"/>
      <c r="F12" s="4"/>
      <c r="G12" s="4"/>
      <c r="H12" s="4"/>
      <c r="I12" s="4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4"/>
      <c r="AD12" s="4"/>
      <c r="AE12" s="3"/>
      <c r="AF12" s="6"/>
      <c r="AG12" s="6"/>
      <c r="AH12" s="6"/>
      <c r="AI12" s="6"/>
      <c r="AJ12" s="6"/>
      <c r="AK12" s="6"/>
      <c r="AL12" s="6"/>
      <c r="AM12" s="6"/>
      <c r="AN12" s="3"/>
    </row>
    <row r="13" spans="1:40" ht="63" customHeight="1" x14ac:dyDescent="0.3">
      <c r="A13" s="6">
        <v>1</v>
      </c>
      <c r="B13" s="7" t="s">
        <v>70</v>
      </c>
      <c r="C13" s="8" t="s">
        <v>156</v>
      </c>
      <c r="D13" s="6"/>
      <c r="E13" s="6"/>
      <c r="F13" s="6"/>
      <c r="G13" s="6"/>
      <c r="H13" s="9">
        <v>44197</v>
      </c>
      <c r="I13" s="6">
        <f>AG5</f>
        <v>31</v>
      </c>
      <c r="J13" s="205">
        <v>50212</v>
      </c>
      <c r="K13" s="205">
        <f t="shared" ref="K13:K15" si="0">ROUND(J13*50%,0)</f>
        <v>25106</v>
      </c>
      <c r="L13" s="205">
        <f>ROUND(J13*25%,0)</f>
        <v>12553</v>
      </c>
      <c r="M13" s="205">
        <f>ROUND(J13*15%,0)</f>
        <v>7532</v>
      </c>
      <c r="N13" s="205">
        <f t="shared" ref="N13:N15" si="1">ROUND(J13*10%,0)</f>
        <v>5021</v>
      </c>
      <c r="O13" s="206">
        <f t="shared" ref="O13:O18" si="2">ROUND(K13/$AG$5*I13,0)</f>
        <v>25106</v>
      </c>
      <c r="P13" s="206">
        <f t="shared" ref="P13:P18" si="3">ROUND(L13/$AG$5*I13,0)</f>
        <v>12553</v>
      </c>
      <c r="Q13" s="206">
        <f t="shared" ref="Q13:Q18" si="4">ROUND(M13/$AG$5*I13,0)</f>
        <v>7532</v>
      </c>
      <c r="R13" s="206">
        <f t="shared" ref="R13:R18" si="5">ROUND(N13/$AG$5*I13,0)</f>
        <v>5021</v>
      </c>
      <c r="S13" s="206">
        <v>0</v>
      </c>
      <c r="T13" s="206">
        <f t="shared" ref="T13:T18" si="6">ROUND(O13/8/I13*S13,0)</f>
        <v>0</v>
      </c>
      <c r="U13" s="6">
        <f t="shared" ref="U13:U15" si="7">O13+P13+Q13+R13+T13</f>
        <v>50212</v>
      </c>
      <c r="V13" s="10">
        <v>0</v>
      </c>
      <c r="W13" s="10">
        <f>IF(U13&gt;21000,0,IF(U13&lt;21000,U13*0.75%))</f>
        <v>0</v>
      </c>
      <c r="X13" s="11">
        <f t="shared" ref="X13:X18" si="8">IF(U13&gt;10000,200,IF(U13&lt;=7500,0,IF(U13&gt;7500,175)))</f>
        <v>200</v>
      </c>
      <c r="Y13" s="10">
        <v>0</v>
      </c>
      <c r="Z13" s="10">
        <v>0</v>
      </c>
      <c r="AA13" s="10">
        <v>0</v>
      </c>
      <c r="AB13" s="10">
        <v>0</v>
      </c>
      <c r="AC13" s="12">
        <f t="shared" ref="AC13:AC18" si="9">V13+W13+X13+Y13+Z13+AA13+AB13</f>
        <v>200</v>
      </c>
      <c r="AD13" s="12">
        <f t="shared" ref="AD13:AD18" si="10">U13-AC13</f>
        <v>50012</v>
      </c>
      <c r="AE13" s="6"/>
      <c r="AF13" s="6">
        <v>0</v>
      </c>
      <c r="AG13" s="6">
        <v>0</v>
      </c>
      <c r="AH13" s="6">
        <f t="shared" ref="AH13:AH15" si="11">AF13+AG13</f>
        <v>0</v>
      </c>
      <c r="AI13" s="13">
        <f t="shared" ref="AI13:AI15" si="12">V13+AH13</f>
        <v>0</v>
      </c>
      <c r="AJ13" s="10">
        <f t="shared" ref="AJ13:AJ18" si="13">IF(U13&gt;21000,0,IF(U13&lt;21000,U13*3.25%))</f>
        <v>0</v>
      </c>
      <c r="AK13" s="13">
        <f t="shared" ref="AK13:AK18" si="14">W13+AJ13</f>
        <v>0</v>
      </c>
      <c r="AL13" s="6">
        <v>36</v>
      </c>
      <c r="AM13" s="13">
        <f t="shared" ref="AM13:AM18" si="15">Y13+AL13</f>
        <v>36</v>
      </c>
      <c r="AN13" s="14">
        <f t="shared" ref="AN13:AN17" si="16">AD13+AI13+AK13+AM13</f>
        <v>50048</v>
      </c>
    </row>
    <row r="14" spans="1:40" ht="63" customHeight="1" x14ac:dyDescent="0.3">
      <c r="A14" s="6">
        <v>2</v>
      </c>
      <c r="B14" s="7" t="s">
        <v>71</v>
      </c>
      <c r="C14" s="8" t="s">
        <v>157</v>
      </c>
      <c r="D14" s="6"/>
      <c r="E14" s="6"/>
      <c r="F14" s="6"/>
      <c r="G14" s="6"/>
      <c r="H14" s="9">
        <v>44197</v>
      </c>
      <c r="I14" s="6">
        <f>AG5</f>
        <v>31</v>
      </c>
      <c r="J14" s="6">
        <v>50212</v>
      </c>
      <c r="K14" s="6">
        <f t="shared" si="0"/>
        <v>25106</v>
      </c>
      <c r="L14" s="6">
        <f t="shared" ref="L14:L15" si="17">ROUND(J14*25%,0)</f>
        <v>12553</v>
      </c>
      <c r="M14" s="6">
        <f t="shared" ref="M14:M15" si="18">ROUND(J14*15%,0)</f>
        <v>7532</v>
      </c>
      <c r="N14" s="6">
        <f t="shared" si="1"/>
        <v>5021</v>
      </c>
      <c r="O14" s="6">
        <f t="shared" si="2"/>
        <v>25106</v>
      </c>
      <c r="P14" s="6">
        <f t="shared" si="3"/>
        <v>12553</v>
      </c>
      <c r="Q14" s="6">
        <f t="shared" si="4"/>
        <v>7532</v>
      </c>
      <c r="R14" s="6">
        <f t="shared" si="5"/>
        <v>5021</v>
      </c>
      <c r="S14" s="6">
        <v>0</v>
      </c>
      <c r="T14" s="6">
        <f t="shared" si="6"/>
        <v>0</v>
      </c>
      <c r="U14" s="6">
        <f t="shared" si="7"/>
        <v>50212</v>
      </c>
      <c r="V14" s="10">
        <v>0</v>
      </c>
      <c r="W14" s="10">
        <f>IF(U14&gt;21000,0,IF(U14&lt;21000,U14*0.75%))</f>
        <v>0</v>
      </c>
      <c r="X14" s="11">
        <f t="shared" si="8"/>
        <v>200</v>
      </c>
      <c r="Y14" s="10">
        <v>0</v>
      </c>
      <c r="Z14" s="10">
        <v>0</v>
      </c>
      <c r="AA14" s="10">
        <v>0</v>
      </c>
      <c r="AB14" s="10">
        <v>0</v>
      </c>
      <c r="AC14" s="12">
        <f t="shared" si="9"/>
        <v>200</v>
      </c>
      <c r="AD14" s="12">
        <f t="shared" si="10"/>
        <v>50012</v>
      </c>
      <c r="AE14" s="6"/>
      <c r="AF14" s="6">
        <v>0</v>
      </c>
      <c r="AG14" s="6">
        <v>0</v>
      </c>
      <c r="AH14" s="6">
        <f t="shared" si="11"/>
        <v>0</v>
      </c>
      <c r="AI14" s="13">
        <f t="shared" si="12"/>
        <v>0</v>
      </c>
      <c r="AJ14" s="10">
        <f t="shared" si="13"/>
        <v>0</v>
      </c>
      <c r="AK14" s="13">
        <f t="shared" si="14"/>
        <v>0</v>
      </c>
      <c r="AL14" s="6">
        <v>36</v>
      </c>
      <c r="AM14" s="13">
        <f t="shared" si="15"/>
        <v>36</v>
      </c>
      <c r="AN14" s="14">
        <f t="shared" si="16"/>
        <v>50048</v>
      </c>
    </row>
    <row r="15" spans="1:40" ht="63" customHeight="1" x14ac:dyDescent="0.3">
      <c r="A15" s="6">
        <v>3</v>
      </c>
      <c r="B15" s="7" t="s">
        <v>72</v>
      </c>
      <c r="C15" s="8" t="s">
        <v>158</v>
      </c>
      <c r="D15" s="6"/>
      <c r="E15" s="6"/>
      <c r="F15" s="6"/>
      <c r="G15" s="6"/>
      <c r="H15" s="9">
        <v>44197</v>
      </c>
      <c r="I15" s="6">
        <f>AG5</f>
        <v>31</v>
      </c>
      <c r="J15" s="6">
        <v>50212</v>
      </c>
      <c r="K15" s="6">
        <f t="shared" si="0"/>
        <v>25106</v>
      </c>
      <c r="L15" s="6">
        <f t="shared" si="17"/>
        <v>12553</v>
      </c>
      <c r="M15" s="6">
        <f t="shared" si="18"/>
        <v>7532</v>
      </c>
      <c r="N15" s="6">
        <f t="shared" si="1"/>
        <v>5021</v>
      </c>
      <c r="O15" s="6">
        <f t="shared" si="2"/>
        <v>25106</v>
      </c>
      <c r="P15" s="6">
        <f t="shared" si="3"/>
        <v>12553</v>
      </c>
      <c r="Q15" s="6">
        <f t="shared" si="4"/>
        <v>7532</v>
      </c>
      <c r="R15" s="6">
        <f t="shared" si="5"/>
        <v>5021</v>
      </c>
      <c r="S15" s="6">
        <v>0</v>
      </c>
      <c r="T15" s="6">
        <f t="shared" si="6"/>
        <v>0</v>
      </c>
      <c r="U15" s="6">
        <f t="shared" si="7"/>
        <v>50212</v>
      </c>
      <c r="V15" s="10">
        <v>0</v>
      </c>
      <c r="W15" s="10">
        <f>IF(U15&gt;21000,0,IF(U15&lt;21000,U15*0.75%))</f>
        <v>0</v>
      </c>
      <c r="X15" s="11">
        <f t="shared" si="8"/>
        <v>200</v>
      </c>
      <c r="Y15" s="10">
        <v>0</v>
      </c>
      <c r="Z15" s="10">
        <v>0</v>
      </c>
      <c r="AA15" s="10">
        <v>0</v>
      </c>
      <c r="AB15" s="10">
        <v>0</v>
      </c>
      <c r="AC15" s="12">
        <f t="shared" si="9"/>
        <v>200</v>
      </c>
      <c r="AD15" s="12">
        <f t="shared" si="10"/>
        <v>50012</v>
      </c>
      <c r="AE15" s="6"/>
      <c r="AF15" s="6">
        <v>0</v>
      </c>
      <c r="AG15" s="6">
        <v>0</v>
      </c>
      <c r="AH15" s="6">
        <f t="shared" si="11"/>
        <v>0</v>
      </c>
      <c r="AI15" s="13">
        <f t="shared" si="12"/>
        <v>0</v>
      </c>
      <c r="AJ15" s="10">
        <f t="shared" si="13"/>
        <v>0</v>
      </c>
      <c r="AK15" s="13">
        <f t="shared" si="14"/>
        <v>0</v>
      </c>
      <c r="AL15" s="6">
        <v>36</v>
      </c>
      <c r="AM15" s="13">
        <f t="shared" si="15"/>
        <v>36</v>
      </c>
      <c r="AN15" s="14">
        <f t="shared" si="16"/>
        <v>50048</v>
      </c>
    </row>
    <row r="16" spans="1:40" ht="63" customHeight="1" x14ac:dyDescent="0.3">
      <c r="A16" s="6">
        <v>5</v>
      </c>
      <c r="B16" s="7" t="s">
        <v>74</v>
      </c>
      <c r="C16" s="8" t="s">
        <v>159</v>
      </c>
      <c r="D16" s="141" t="s">
        <v>140</v>
      </c>
      <c r="E16" s="120"/>
      <c r="F16" s="120"/>
      <c r="G16" s="120"/>
      <c r="H16" s="151">
        <v>44197</v>
      </c>
      <c r="I16" s="141">
        <v>0</v>
      </c>
      <c r="J16" s="120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52"/>
      <c r="W16" s="10"/>
      <c r="X16" s="11"/>
      <c r="Y16" s="10"/>
      <c r="Z16" s="10"/>
      <c r="AA16" s="10"/>
      <c r="AB16" s="10"/>
      <c r="AC16" s="12"/>
      <c r="AD16" s="12"/>
      <c r="AE16" s="6"/>
      <c r="AF16" s="6"/>
      <c r="AG16" s="6"/>
      <c r="AH16" s="16"/>
      <c r="AI16" s="13"/>
      <c r="AJ16" s="10"/>
      <c r="AK16" s="13"/>
      <c r="AL16" s="6"/>
      <c r="AM16" s="13"/>
      <c r="AN16" s="14"/>
    </row>
    <row r="17" spans="1:40" s="39" customFormat="1" ht="63" hidden="1" customHeight="1" x14ac:dyDescent="0.3">
      <c r="A17" s="108">
        <v>6</v>
      </c>
      <c r="B17" s="109" t="s">
        <v>97</v>
      </c>
      <c r="C17" s="8" t="s">
        <v>160</v>
      </c>
      <c r="D17" s="108"/>
      <c r="E17" s="108"/>
      <c r="F17" s="108"/>
      <c r="G17" s="108"/>
      <c r="H17" s="110">
        <v>44197</v>
      </c>
      <c r="I17" s="108">
        <v>0</v>
      </c>
      <c r="J17" s="108">
        <v>17000</v>
      </c>
      <c r="K17" s="108">
        <f t="shared" ref="K17" si="19">ROUND(J17*50%,0)</f>
        <v>8500</v>
      </c>
      <c r="L17" s="108">
        <f t="shared" ref="L17" si="20">ROUND(J17*25%,0)</f>
        <v>4250</v>
      </c>
      <c r="M17" s="108">
        <f t="shared" ref="M17" si="21">ROUND(J17*15%,0)</f>
        <v>2550</v>
      </c>
      <c r="N17" s="108">
        <f t="shared" ref="N17" si="22">ROUND(J17*10%,0)</f>
        <v>1700</v>
      </c>
      <c r="O17" s="108">
        <f t="shared" si="2"/>
        <v>0</v>
      </c>
      <c r="P17" s="108">
        <f t="shared" si="3"/>
        <v>0</v>
      </c>
      <c r="Q17" s="108">
        <f t="shared" si="4"/>
        <v>0</v>
      </c>
      <c r="R17" s="108">
        <f t="shared" si="5"/>
        <v>0</v>
      </c>
      <c r="S17" s="108">
        <v>0</v>
      </c>
      <c r="T17" s="108" t="e">
        <f t="shared" si="6"/>
        <v>#DIV/0!</v>
      </c>
      <c r="U17" s="108">
        <v>17000</v>
      </c>
      <c r="V17" s="111">
        <f>ROUND(O17*12%,0)</f>
        <v>0</v>
      </c>
      <c r="W17" s="111">
        <f t="shared" ref="W17:W18" si="23">IF(U17&gt;21000,0,IF(U17&lt;21000,U17*0.75%))</f>
        <v>127.5</v>
      </c>
      <c r="X17" s="112">
        <f t="shared" si="8"/>
        <v>200</v>
      </c>
      <c r="Y17" s="111">
        <v>0</v>
      </c>
      <c r="Z17" s="111">
        <v>0</v>
      </c>
      <c r="AA17" s="111">
        <v>0</v>
      </c>
      <c r="AB17" s="111">
        <v>0</v>
      </c>
      <c r="AC17" s="113">
        <f t="shared" si="9"/>
        <v>327.5</v>
      </c>
      <c r="AD17" s="113">
        <f t="shared" si="10"/>
        <v>16672.5</v>
      </c>
      <c r="AE17" s="114"/>
      <c r="AF17" s="108">
        <f>ROUND(O17*12%,0)</f>
        <v>0</v>
      </c>
      <c r="AG17" s="108">
        <f>ROUND(O17*1%,0)</f>
        <v>0</v>
      </c>
      <c r="AH17" s="108">
        <f>AF17+AG17</f>
        <v>0</v>
      </c>
      <c r="AI17" s="115">
        <f>V17+AH17</f>
        <v>0</v>
      </c>
      <c r="AJ17" s="111">
        <f t="shared" si="13"/>
        <v>552.5</v>
      </c>
      <c r="AK17" s="115">
        <f t="shared" si="14"/>
        <v>680</v>
      </c>
      <c r="AL17" s="108">
        <v>36</v>
      </c>
      <c r="AM17" s="115">
        <f t="shared" si="15"/>
        <v>36</v>
      </c>
      <c r="AN17" s="116">
        <f t="shared" si="16"/>
        <v>17388.5</v>
      </c>
    </row>
    <row r="18" spans="1:40" ht="63" customHeight="1" x14ac:dyDescent="0.3">
      <c r="A18" s="6">
        <v>7</v>
      </c>
      <c r="B18" s="7" t="s">
        <v>76</v>
      </c>
      <c r="C18" s="8" t="s">
        <v>161</v>
      </c>
      <c r="D18" s="6"/>
      <c r="E18" s="6"/>
      <c r="F18" s="6"/>
      <c r="G18" s="6"/>
      <c r="H18" s="9">
        <v>44197</v>
      </c>
      <c r="I18" s="6">
        <f>AG5</f>
        <v>31</v>
      </c>
      <c r="J18" s="6">
        <f>SUM(K18:N18)</f>
        <v>22525</v>
      </c>
      <c r="K18" s="6">
        <v>10000</v>
      </c>
      <c r="L18" s="6">
        <v>6250</v>
      </c>
      <c r="M18" s="6">
        <v>3775</v>
      </c>
      <c r="N18" s="6">
        <v>2500</v>
      </c>
      <c r="O18" s="6">
        <f t="shared" si="2"/>
        <v>10000</v>
      </c>
      <c r="P18" s="6">
        <f t="shared" si="3"/>
        <v>6250</v>
      </c>
      <c r="Q18" s="6">
        <f t="shared" si="4"/>
        <v>3775</v>
      </c>
      <c r="R18" s="6">
        <f t="shared" si="5"/>
        <v>2500</v>
      </c>
      <c r="S18" s="6">
        <v>0</v>
      </c>
      <c r="T18" s="6">
        <f t="shared" si="6"/>
        <v>0</v>
      </c>
      <c r="U18" s="6">
        <f>SUM(O18:T18)</f>
        <v>22525</v>
      </c>
      <c r="V18" s="10">
        <f>ROUND(O18*12%,0)</f>
        <v>1200</v>
      </c>
      <c r="W18" s="10">
        <f t="shared" si="23"/>
        <v>0</v>
      </c>
      <c r="X18" s="11">
        <f t="shared" si="8"/>
        <v>200</v>
      </c>
      <c r="Y18" s="10">
        <v>0</v>
      </c>
      <c r="Z18" s="10">
        <v>0</v>
      </c>
      <c r="AA18" s="10">
        <v>0</v>
      </c>
      <c r="AB18" s="10">
        <v>0</v>
      </c>
      <c r="AC18" s="12">
        <f t="shared" si="9"/>
        <v>1400</v>
      </c>
      <c r="AD18" s="12">
        <f t="shared" si="10"/>
        <v>21125</v>
      </c>
      <c r="AE18" s="6"/>
      <c r="AF18" s="6">
        <f>ROUND(O18*12%,0)</f>
        <v>1200</v>
      </c>
      <c r="AG18" s="6">
        <f>ROUND(O18*1%,0)</f>
        <v>100</v>
      </c>
      <c r="AH18" s="6">
        <f>AF18+AG18</f>
        <v>1300</v>
      </c>
      <c r="AI18" s="13">
        <f>V18+AH18</f>
        <v>2500</v>
      </c>
      <c r="AJ18" s="10">
        <f t="shared" si="13"/>
        <v>0</v>
      </c>
      <c r="AK18" s="13">
        <f t="shared" si="14"/>
        <v>0</v>
      </c>
      <c r="AL18" s="6">
        <v>36</v>
      </c>
      <c r="AM18" s="13">
        <f t="shared" si="15"/>
        <v>36</v>
      </c>
      <c r="AN18" s="14">
        <f>AD18+AI18+AK18+AM18</f>
        <v>23661</v>
      </c>
    </row>
    <row r="19" spans="1:40" ht="63" hidden="1" customHeight="1" x14ac:dyDescent="0.3">
      <c r="A19" s="6">
        <v>8</v>
      </c>
      <c r="B19" s="7" t="s">
        <v>99</v>
      </c>
      <c r="C19" s="8" t="s">
        <v>162</v>
      </c>
      <c r="D19" s="6"/>
      <c r="E19" s="6"/>
      <c r="F19" s="6"/>
      <c r="G19" s="6"/>
      <c r="H19" s="9">
        <v>44409</v>
      </c>
      <c r="I19" s="6"/>
      <c r="J19" s="120"/>
      <c r="K19" s="120"/>
      <c r="L19" s="120"/>
      <c r="M19" s="120"/>
      <c r="N19" s="120"/>
      <c r="O19" s="6"/>
      <c r="P19" s="6"/>
      <c r="Q19" s="6"/>
      <c r="R19" s="6"/>
      <c r="S19" s="6"/>
      <c r="T19" s="6"/>
      <c r="U19" s="6"/>
      <c r="V19" s="10"/>
      <c r="W19" s="10"/>
      <c r="X19" s="11"/>
      <c r="Y19" s="10"/>
      <c r="Z19" s="10"/>
      <c r="AA19" s="10"/>
      <c r="AB19" s="10"/>
      <c r="AC19" s="12"/>
      <c r="AD19" s="12"/>
      <c r="AE19" s="6"/>
      <c r="AF19" s="6"/>
      <c r="AG19" s="6"/>
      <c r="AH19" s="6"/>
      <c r="AI19" s="13"/>
      <c r="AJ19" s="10"/>
      <c r="AK19" s="13"/>
      <c r="AL19" s="6"/>
      <c r="AM19" s="13"/>
      <c r="AN19" s="14"/>
    </row>
    <row r="20" spans="1:40" s="119" customFormat="1" ht="63" hidden="1" customHeight="1" x14ac:dyDescent="0.3">
      <c r="A20" s="108">
        <v>9</v>
      </c>
      <c r="B20" s="109" t="s">
        <v>115</v>
      </c>
      <c r="C20" s="8" t="s">
        <v>163</v>
      </c>
      <c r="D20" s="108"/>
      <c r="E20" s="108"/>
      <c r="F20" s="108"/>
      <c r="G20" s="108"/>
      <c r="H20" s="110">
        <v>44866</v>
      </c>
      <c r="I20" s="108">
        <v>0</v>
      </c>
      <c r="J20" s="108">
        <v>66666</v>
      </c>
      <c r="K20" s="108">
        <v>36000</v>
      </c>
      <c r="L20" s="108">
        <v>18000</v>
      </c>
      <c r="M20" s="108">
        <v>17500</v>
      </c>
      <c r="N20" s="108"/>
      <c r="O20" s="108">
        <f t="shared" ref="O20:O24" si="24">ROUND(K20/$AG$5*I20,0)</f>
        <v>0</v>
      </c>
      <c r="P20" s="108">
        <f t="shared" ref="P20:P25" si="25">ROUNDDOWN(L20/$AG$5*I20,0)</f>
        <v>0</v>
      </c>
      <c r="Q20" s="108">
        <f t="shared" ref="Q20:Q24" si="26">ROUND(M20/$AG$5*I20,0)</f>
        <v>0</v>
      </c>
      <c r="R20" s="108">
        <f t="shared" ref="R20:R24" si="27">ROUND(N20/$AG$5*I20,0)</f>
        <v>0</v>
      </c>
      <c r="S20" s="108">
        <v>0</v>
      </c>
      <c r="T20" s="108" t="e">
        <f t="shared" ref="T20:T24" si="28">ROUND(O20/8/I20*S20,0)</f>
        <v>#DIV/0!</v>
      </c>
      <c r="U20" s="108" t="e">
        <f t="shared" ref="U20:U24" si="29">O20+P20+Q20+R20+T20</f>
        <v>#DIV/0!</v>
      </c>
      <c r="V20" s="118">
        <v>1800</v>
      </c>
      <c r="W20" s="118" t="e">
        <f t="shared" ref="W20:W24" si="30">IF(U20&gt;21000,0,IF(U20&lt;21000,U20*0.75%))</f>
        <v>#DIV/0!</v>
      </c>
      <c r="X20" s="112" t="e">
        <f>IF(U20&gt;10000,200,IF(U20&lt;=7500,0,IF(U20&gt;7500,175)))</f>
        <v>#DIV/0!</v>
      </c>
      <c r="Y20" s="118">
        <v>0</v>
      </c>
      <c r="Z20" s="118">
        <v>0</v>
      </c>
      <c r="AA20" s="118">
        <v>0</v>
      </c>
      <c r="AB20" s="118">
        <v>0</v>
      </c>
      <c r="AC20" s="113" t="e">
        <f t="shared" ref="AC20:AC24" si="31">V20+W20+X20+Y20+Z20+AA20+AB20</f>
        <v>#DIV/0!</v>
      </c>
      <c r="AD20" s="113" t="e">
        <f t="shared" ref="AD20:AD26" si="32">U20-AC20</f>
        <v>#DIV/0!</v>
      </c>
      <c r="AE20" s="108"/>
      <c r="AF20" s="108">
        <v>1800</v>
      </c>
      <c r="AG20" s="108">
        <f t="shared" ref="AG20" si="33">ROUND(O20*1%,0)</f>
        <v>0</v>
      </c>
      <c r="AH20" s="108">
        <f t="shared" ref="AH20" si="34">AF20+AG20</f>
        <v>1800</v>
      </c>
      <c r="AI20" s="115">
        <f t="shared" ref="AI20" si="35">V20+AH20</f>
        <v>3600</v>
      </c>
      <c r="AJ20" s="118" t="e">
        <f t="shared" ref="AJ20:AJ24" si="36">IF(U20&gt;21000,0,IF(U20&lt;21000,U20*3.25%))</f>
        <v>#DIV/0!</v>
      </c>
      <c r="AK20" s="115" t="e">
        <f t="shared" ref="AK20:AK24" si="37">W20+AJ20</f>
        <v>#DIV/0!</v>
      </c>
      <c r="AL20" s="108">
        <v>36</v>
      </c>
      <c r="AM20" s="115">
        <f t="shared" ref="AM20:AM24" si="38">Y20+AL20</f>
        <v>36</v>
      </c>
      <c r="AN20" s="116" t="e">
        <f t="shared" ref="AN20" si="39">AD20+AI20+AK20+AM20</f>
        <v>#DIV/0!</v>
      </c>
    </row>
    <row r="21" spans="1:40" ht="63" customHeight="1" x14ac:dyDescent="0.3">
      <c r="A21" s="6">
        <v>10</v>
      </c>
      <c r="B21" s="7" t="s">
        <v>117</v>
      </c>
      <c r="C21" s="8" t="s">
        <v>164</v>
      </c>
      <c r="D21" s="6"/>
      <c r="E21" s="6"/>
      <c r="F21" s="6"/>
      <c r="G21" s="6"/>
      <c r="H21" s="9">
        <v>44964</v>
      </c>
      <c r="I21" s="6">
        <f>AG5</f>
        <v>31</v>
      </c>
      <c r="J21" s="6">
        <f>SUM(K21:N21)</f>
        <v>79500</v>
      </c>
      <c r="K21" s="6">
        <v>40810</v>
      </c>
      <c r="L21" s="6">
        <v>20405</v>
      </c>
      <c r="M21" s="6">
        <v>18285</v>
      </c>
      <c r="N21" s="6"/>
      <c r="O21" s="6">
        <f t="shared" si="24"/>
        <v>40810</v>
      </c>
      <c r="P21" s="6">
        <f t="shared" si="25"/>
        <v>20405</v>
      </c>
      <c r="Q21" s="6">
        <f t="shared" si="26"/>
        <v>18285</v>
      </c>
      <c r="R21" s="6">
        <f t="shared" si="27"/>
        <v>0</v>
      </c>
      <c r="S21" s="6">
        <v>0</v>
      </c>
      <c r="T21" s="6">
        <f t="shared" si="28"/>
        <v>0</v>
      </c>
      <c r="U21" s="6">
        <f t="shared" si="29"/>
        <v>79500</v>
      </c>
      <c r="V21" s="52">
        <v>1800</v>
      </c>
      <c r="W21" s="52">
        <f t="shared" si="30"/>
        <v>0</v>
      </c>
      <c r="X21" s="11">
        <f>IF(U21&gt;10000,200,IF(U21&lt;=7500,0,IF(U21&gt;7500,175)))</f>
        <v>200</v>
      </c>
      <c r="Y21" s="52">
        <v>0</v>
      </c>
      <c r="Z21" s="52">
        <v>0</v>
      </c>
      <c r="AA21" s="52">
        <v>0</v>
      </c>
      <c r="AB21" s="52">
        <v>0</v>
      </c>
      <c r="AC21" s="12">
        <f t="shared" si="31"/>
        <v>2000</v>
      </c>
      <c r="AD21" s="12">
        <f t="shared" si="32"/>
        <v>77500</v>
      </c>
      <c r="AE21" s="6"/>
      <c r="AF21" s="6">
        <v>1800</v>
      </c>
      <c r="AG21" s="6">
        <f t="shared" ref="AG21" si="40">ROUND(O21*1%,0)</f>
        <v>408</v>
      </c>
      <c r="AH21" s="6">
        <f t="shared" ref="AH21" si="41">AF21+AG21</f>
        <v>2208</v>
      </c>
      <c r="AI21" s="13">
        <f>V21+AH21</f>
        <v>4008</v>
      </c>
      <c r="AJ21" s="52">
        <f t="shared" si="36"/>
        <v>0</v>
      </c>
      <c r="AK21" s="13">
        <f t="shared" si="37"/>
        <v>0</v>
      </c>
      <c r="AL21" s="6">
        <v>36</v>
      </c>
      <c r="AM21" s="13">
        <f t="shared" si="38"/>
        <v>36</v>
      </c>
      <c r="AN21" s="14">
        <f>AD21+AI21+AK21+AM21</f>
        <v>81544</v>
      </c>
    </row>
    <row r="22" spans="1:40" ht="63" hidden="1" customHeight="1" x14ac:dyDescent="0.3">
      <c r="A22" s="6">
        <v>11</v>
      </c>
      <c r="B22" s="7" t="s">
        <v>118</v>
      </c>
      <c r="C22" s="8" t="s">
        <v>165</v>
      </c>
      <c r="D22" s="6"/>
      <c r="E22" s="6"/>
      <c r="F22" s="6"/>
      <c r="G22" s="6"/>
      <c r="H22" s="9">
        <v>45078</v>
      </c>
      <c r="I22" s="6"/>
      <c r="J22" s="55"/>
      <c r="K22" s="55"/>
      <c r="L22" s="55"/>
      <c r="M22" s="55"/>
      <c r="N22" s="6"/>
      <c r="O22" s="6"/>
      <c r="P22" s="6"/>
      <c r="Q22" s="6"/>
      <c r="R22" s="6"/>
      <c r="S22" s="6"/>
      <c r="T22" s="6"/>
      <c r="U22" s="6"/>
      <c r="V22" s="52"/>
      <c r="W22" s="52"/>
      <c r="X22" s="11"/>
      <c r="Y22" s="52"/>
      <c r="Z22" s="52"/>
      <c r="AA22" s="52"/>
      <c r="AB22" s="52"/>
      <c r="AC22" s="12"/>
      <c r="AD22" s="12"/>
      <c r="AE22" s="6"/>
      <c r="AF22" s="6"/>
      <c r="AG22" s="6"/>
      <c r="AH22" s="6"/>
      <c r="AI22" s="13"/>
      <c r="AJ22" s="52"/>
      <c r="AK22" s="13"/>
      <c r="AL22" s="6"/>
      <c r="AM22" s="13"/>
      <c r="AN22" s="14"/>
    </row>
    <row r="23" spans="1:40" ht="63" customHeight="1" x14ac:dyDescent="0.3">
      <c r="A23" s="6">
        <v>12</v>
      </c>
      <c r="B23" s="7" t="s">
        <v>120</v>
      </c>
      <c r="C23" s="8" t="s">
        <v>166</v>
      </c>
      <c r="D23" s="6"/>
      <c r="E23" s="6"/>
      <c r="F23" s="6"/>
      <c r="G23" s="6"/>
      <c r="H23" s="9">
        <v>45170</v>
      </c>
      <c r="I23" s="6">
        <f>AG5</f>
        <v>31</v>
      </c>
      <c r="J23" s="55">
        <f>SUM(K23:N23)</f>
        <v>42000</v>
      </c>
      <c r="K23" s="6">
        <v>23210</v>
      </c>
      <c r="L23" s="6">
        <v>11605</v>
      </c>
      <c r="M23" s="6">
        <v>4431</v>
      </c>
      <c r="N23" s="6">
        <v>2754</v>
      </c>
      <c r="O23" s="6">
        <f t="shared" si="24"/>
        <v>23210</v>
      </c>
      <c r="P23" s="6">
        <f t="shared" si="25"/>
        <v>11605</v>
      </c>
      <c r="Q23" s="6">
        <f t="shared" si="26"/>
        <v>4431</v>
      </c>
      <c r="R23" s="6">
        <f t="shared" si="27"/>
        <v>2754</v>
      </c>
      <c r="S23" s="6">
        <v>0</v>
      </c>
      <c r="T23" s="6">
        <f t="shared" si="28"/>
        <v>0</v>
      </c>
      <c r="U23" s="6">
        <f t="shared" si="29"/>
        <v>42000</v>
      </c>
      <c r="V23" s="52">
        <v>1800</v>
      </c>
      <c r="W23" s="52">
        <f t="shared" si="30"/>
        <v>0</v>
      </c>
      <c r="X23" s="11">
        <v>200</v>
      </c>
      <c r="Y23" s="52">
        <v>0</v>
      </c>
      <c r="Z23" s="52">
        <v>0</v>
      </c>
      <c r="AA23" s="52">
        <v>0</v>
      </c>
      <c r="AB23" s="52">
        <v>0</v>
      </c>
      <c r="AC23" s="12">
        <f t="shared" si="31"/>
        <v>2000</v>
      </c>
      <c r="AD23" s="12">
        <f t="shared" si="32"/>
        <v>40000</v>
      </c>
      <c r="AE23" s="6"/>
      <c r="AF23" s="6">
        <v>1800</v>
      </c>
      <c r="AG23" s="6">
        <f t="shared" ref="AG23" si="42">ROUND(O23*1%,0)</f>
        <v>232</v>
      </c>
      <c r="AH23" s="6">
        <f t="shared" ref="AH23" si="43">AF23+AG23</f>
        <v>2032</v>
      </c>
      <c r="AI23" s="13">
        <f>V23+AH23</f>
        <v>3832</v>
      </c>
      <c r="AJ23" s="52">
        <f t="shared" si="36"/>
        <v>0</v>
      </c>
      <c r="AK23" s="13">
        <f t="shared" si="37"/>
        <v>0</v>
      </c>
      <c r="AL23" s="6">
        <v>36</v>
      </c>
      <c r="AM23" s="13">
        <f t="shared" si="38"/>
        <v>36</v>
      </c>
      <c r="AN23" s="14">
        <f>AD23+X23+AI23+AM23</f>
        <v>44068</v>
      </c>
    </row>
    <row r="24" spans="1:40" s="119" customFormat="1" ht="63" hidden="1" customHeight="1" x14ac:dyDescent="0.3">
      <c r="A24" s="108">
        <v>13</v>
      </c>
      <c r="B24" s="109" t="s">
        <v>124</v>
      </c>
      <c r="C24" s="8" t="s">
        <v>167</v>
      </c>
      <c r="D24" s="108"/>
      <c r="E24" s="108"/>
      <c r="F24" s="108"/>
      <c r="G24" s="108"/>
      <c r="H24" s="110">
        <v>45236</v>
      </c>
      <c r="I24" s="108"/>
      <c r="J24" s="124">
        <v>18000</v>
      </c>
      <c r="K24" s="108">
        <v>9000</v>
      </c>
      <c r="L24" s="108">
        <v>4500</v>
      </c>
      <c r="M24" s="108">
        <v>4636</v>
      </c>
      <c r="N24" s="108"/>
      <c r="O24" s="108">
        <f t="shared" si="24"/>
        <v>0</v>
      </c>
      <c r="P24" s="108">
        <f t="shared" si="25"/>
        <v>0</v>
      </c>
      <c r="Q24" s="108">
        <f t="shared" si="26"/>
        <v>0</v>
      </c>
      <c r="R24" s="108">
        <f t="shared" si="27"/>
        <v>0</v>
      </c>
      <c r="S24" s="108">
        <v>0</v>
      </c>
      <c r="T24" s="108" t="e">
        <f t="shared" si="28"/>
        <v>#DIV/0!</v>
      </c>
      <c r="U24" s="108" t="e">
        <f t="shared" si="29"/>
        <v>#DIV/0!</v>
      </c>
      <c r="V24" s="111">
        <f>ROUND(O24*12%,0)</f>
        <v>0</v>
      </c>
      <c r="W24" s="118" t="e">
        <f t="shared" si="30"/>
        <v>#DIV/0!</v>
      </c>
      <c r="X24" s="112">
        <v>200</v>
      </c>
      <c r="Y24" s="118">
        <v>0</v>
      </c>
      <c r="Z24" s="118">
        <v>0</v>
      </c>
      <c r="AA24" s="118">
        <v>0</v>
      </c>
      <c r="AB24" s="118">
        <v>0</v>
      </c>
      <c r="AC24" s="113" t="e">
        <f t="shared" si="31"/>
        <v>#DIV/0!</v>
      </c>
      <c r="AD24" s="113" t="e">
        <f t="shared" si="32"/>
        <v>#DIV/0!</v>
      </c>
      <c r="AE24" s="108"/>
      <c r="AF24" s="108">
        <f t="shared" ref="AF24" si="44">ROUND(O24*12%,0)</f>
        <v>0</v>
      </c>
      <c r="AG24" s="108"/>
      <c r="AH24" s="108">
        <f t="shared" ref="AH24:AH26" si="45">AF24+AG24</f>
        <v>0</v>
      </c>
      <c r="AI24" s="115">
        <f>V24+AH24</f>
        <v>0</v>
      </c>
      <c r="AJ24" s="118" t="e">
        <f t="shared" si="36"/>
        <v>#DIV/0!</v>
      </c>
      <c r="AK24" s="115" t="e">
        <f t="shared" si="37"/>
        <v>#DIV/0!</v>
      </c>
      <c r="AL24" s="108">
        <v>36</v>
      </c>
      <c r="AM24" s="115">
        <f t="shared" si="38"/>
        <v>36</v>
      </c>
      <c r="AN24" s="116" t="e">
        <f>AD24+X24+AI24+AM24</f>
        <v>#DIV/0!</v>
      </c>
    </row>
    <row r="25" spans="1:40" ht="63" customHeight="1" x14ac:dyDescent="0.3">
      <c r="A25" s="6">
        <v>14</v>
      </c>
      <c r="B25" s="7" t="s">
        <v>129</v>
      </c>
      <c r="C25" s="8" t="s">
        <v>168</v>
      </c>
      <c r="D25" s="6"/>
      <c r="E25" s="6"/>
      <c r="F25" s="6"/>
      <c r="G25" s="6"/>
      <c r="H25" s="9">
        <v>45018</v>
      </c>
      <c r="I25" s="6">
        <f>AG5</f>
        <v>31</v>
      </c>
      <c r="J25" s="6">
        <f>SUM(K25:N25)</f>
        <v>73814</v>
      </c>
      <c r="K25" s="55">
        <v>39158</v>
      </c>
      <c r="L25" s="6">
        <v>19665</v>
      </c>
      <c r="M25" s="55">
        <v>12939</v>
      </c>
      <c r="N25" s="6">
        <v>2052</v>
      </c>
      <c r="O25" s="6">
        <f t="shared" ref="O25" si="46">ROUND(K25/$AG$5*I25,0)</f>
        <v>39158</v>
      </c>
      <c r="P25" s="6">
        <f t="shared" si="25"/>
        <v>19665</v>
      </c>
      <c r="Q25" s="6">
        <f t="shared" ref="Q25:Q26" si="47">ROUND(M25/$AG$5*I25,0)</f>
        <v>12939</v>
      </c>
      <c r="R25" s="6">
        <f t="shared" ref="R25:R26" si="48">ROUND(N25/$AG$5*I25,0)</f>
        <v>2052</v>
      </c>
      <c r="S25" s="6">
        <v>0</v>
      </c>
      <c r="T25" s="6">
        <f t="shared" ref="T25:T26" si="49">ROUND(O25/8/I25*S25,0)</f>
        <v>0</v>
      </c>
      <c r="U25" s="6">
        <f t="shared" ref="U25:U26" si="50">O25+P25+Q25+R25+T25</f>
        <v>73814</v>
      </c>
      <c r="V25" s="52">
        <v>1800</v>
      </c>
      <c r="W25" s="52"/>
      <c r="X25" s="11">
        <f>IF(U25&gt;10000,200,IF(U25&lt;=7500,0,IF(U25&gt;7500,175)))</f>
        <v>200</v>
      </c>
      <c r="Y25" s="52">
        <v>0</v>
      </c>
      <c r="Z25" s="52">
        <v>0</v>
      </c>
      <c r="AA25" s="52">
        <v>0</v>
      </c>
      <c r="AB25" s="52">
        <v>0</v>
      </c>
      <c r="AC25" s="12">
        <f t="shared" ref="AC25:AC26" si="51">V25+W25+X25+Y25+Z25+AA25+AB25</f>
        <v>2000</v>
      </c>
      <c r="AD25" s="12">
        <f t="shared" si="32"/>
        <v>71814</v>
      </c>
      <c r="AE25" s="6"/>
      <c r="AF25" s="6">
        <v>1800</v>
      </c>
      <c r="AG25" s="6">
        <f t="shared" ref="AG25" si="52">ROUND(O25*1%,0)</f>
        <v>392</v>
      </c>
      <c r="AH25" s="6">
        <f t="shared" si="45"/>
        <v>2192</v>
      </c>
      <c r="AI25" s="13">
        <f t="shared" ref="AI25" si="53">V25+AH25</f>
        <v>3992</v>
      </c>
      <c r="AJ25" s="52">
        <f t="shared" ref="AJ25:AJ26" si="54">IF(U25&gt;21000,0,IF(U25&lt;21000,U25*3.25%))</f>
        <v>0</v>
      </c>
      <c r="AK25" s="13">
        <f t="shared" ref="AK25:AK26" si="55">W25+AJ25</f>
        <v>0</v>
      </c>
      <c r="AL25" s="6">
        <v>36</v>
      </c>
      <c r="AM25" s="13">
        <f t="shared" ref="AM25:AM26" si="56">Y25+AL25</f>
        <v>36</v>
      </c>
      <c r="AN25" s="14">
        <f t="shared" ref="AN25" si="57">AD25+AI25+AK25+AM25</f>
        <v>75842</v>
      </c>
    </row>
    <row r="26" spans="1:40" ht="63" hidden="1" customHeight="1" x14ac:dyDescent="0.3">
      <c r="A26" s="6">
        <v>17</v>
      </c>
      <c r="B26" s="7" t="s">
        <v>131</v>
      </c>
      <c r="C26" s="8" t="s">
        <v>169</v>
      </c>
      <c r="D26" s="16"/>
      <c r="E26" s="16"/>
      <c r="F26" s="16"/>
      <c r="G26" s="16"/>
      <c r="H26" s="140">
        <v>45663</v>
      </c>
      <c r="I26" s="16">
        <v>0</v>
      </c>
      <c r="J26" s="141">
        <v>26500</v>
      </c>
      <c r="K26" s="141">
        <f>ROUND(J26*50%,0)</f>
        <v>13250</v>
      </c>
      <c r="L26" s="141">
        <f>ROUND(J26*25%,0)</f>
        <v>6625</v>
      </c>
      <c r="M26" s="141">
        <f t="shared" ref="M26" si="58">ROUND(J26*15%,0)</f>
        <v>3975</v>
      </c>
      <c r="N26" s="141">
        <f>ROUND(J26*10%,0)</f>
        <v>2650</v>
      </c>
      <c r="O26" s="141">
        <f t="shared" ref="O26:O31" si="59">ROUND(K26/$AG$5*I26,0)</f>
        <v>0</v>
      </c>
      <c r="P26" s="141">
        <f t="shared" ref="P26" si="60">ROUND(L26/$AG$5*I26,0)</f>
        <v>0</v>
      </c>
      <c r="Q26" s="141">
        <f t="shared" si="47"/>
        <v>0</v>
      </c>
      <c r="R26" s="141">
        <f t="shared" si="48"/>
        <v>0</v>
      </c>
      <c r="S26" s="141">
        <v>0</v>
      </c>
      <c r="T26" s="141" t="e">
        <f t="shared" si="49"/>
        <v>#DIV/0!</v>
      </c>
      <c r="U26" s="141" t="e">
        <f t="shared" si="50"/>
        <v>#DIV/0!</v>
      </c>
      <c r="V26" s="141">
        <f>MIN(1800,IF(O26&gt;25000,1800,IF(O26&lt;25000,O26*12%)))</f>
        <v>0</v>
      </c>
      <c r="W26" s="142" t="e">
        <f>IF(U26&gt;21000,0,IF(U26&lt;21000,U26*0.75%))</f>
        <v>#DIV/0!</v>
      </c>
      <c r="X26" s="143" t="e">
        <f t="shared" ref="X26" si="61">IF(U26&gt;10000,200,IF(U26&lt;=7500,0,IF(U26&gt;7500,175)))</f>
        <v>#DIV/0!</v>
      </c>
      <c r="Y26" s="142">
        <v>0</v>
      </c>
      <c r="Z26" s="142">
        <v>0</v>
      </c>
      <c r="AA26" s="142">
        <v>0</v>
      </c>
      <c r="AB26" s="142">
        <v>0</v>
      </c>
      <c r="AC26" s="144" t="e">
        <f t="shared" si="51"/>
        <v>#DIV/0!</v>
      </c>
      <c r="AD26" s="144" t="e">
        <f t="shared" si="32"/>
        <v>#DIV/0!</v>
      </c>
      <c r="AE26" s="141"/>
      <c r="AF26" s="141">
        <f>MIN(1800,IF(O26&gt;25000,1800,IF(O26&lt;25000,O26*12%)))</f>
        <v>0</v>
      </c>
      <c r="AG26" s="141">
        <f t="shared" ref="AG26" si="62">MIN(1800,IF(O26&gt;25000,0,IF(O26&lt;25000,O26*1%)))</f>
        <v>0</v>
      </c>
      <c r="AH26" s="141">
        <f t="shared" si="45"/>
        <v>0</v>
      </c>
      <c r="AI26" s="145">
        <f t="shared" ref="AI26:AI31" si="63">V26+AH26</f>
        <v>0</v>
      </c>
      <c r="AJ26" s="142" t="e">
        <f t="shared" si="54"/>
        <v>#DIV/0!</v>
      </c>
      <c r="AK26" s="145" t="e">
        <f t="shared" si="55"/>
        <v>#DIV/0!</v>
      </c>
      <c r="AL26" s="141">
        <v>36</v>
      </c>
      <c r="AM26" s="145">
        <f t="shared" si="56"/>
        <v>36</v>
      </c>
      <c r="AN26" s="146" t="e">
        <f t="shared" ref="AN26:AN31" si="64">AD26+AI26+AK26+AM26</f>
        <v>#DIV/0!</v>
      </c>
    </row>
    <row r="27" spans="1:40" ht="63" customHeight="1" x14ac:dyDescent="0.3">
      <c r="A27" s="6">
        <v>18</v>
      </c>
      <c r="B27" s="7" t="s">
        <v>133</v>
      </c>
      <c r="C27" s="8" t="s">
        <v>170</v>
      </c>
      <c r="D27" s="6"/>
      <c r="E27" s="6"/>
      <c r="F27" s="6"/>
      <c r="G27" s="6"/>
      <c r="H27" s="9">
        <v>45677</v>
      </c>
      <c r="I27" s="6">
        <f>AG5</f>
        <v>31</v>
      </c>
      <c r="J27" s="6">
        <f t="shared" ref="J27:J32" si="65">SUM(K27:N27)</f>
        <v>62205</v>
      </c>
      <c r="K27" s="6">
        <v>32450</v>
      </c>
      <c r="L27" s="6">
        <v>16225</v>
      </c>
      <c r="M27" s="6">
        <v>11330</v>
      </c>
      <c r="N27" s="6">
        <v>2200</v>
      </c>
      <c r="O27" s="6">
        <f t="shared" si="59"/>
        <v>32450</v>
      </c>
      <c r="P27" s="6">
        <f t="shared" ref="P27" si="66">ROUND(L27/$AG$5*I27,0)</f>
        <v>16225</v>
      </c>
      <c r="Q27" s="6">
        <f t="shared" ref="Q27" si="67">ROUND(M27/$AG$5*I27,0)</f>
        <v>11330</v>
      </c>
      <c r="R27" s="6">
        <f t="shared" ref="R27" si="68">ROUND(N27/$AG$5*I27,0)</f>
        <v>2200</v>
      </c>
      <c r="S27" s="6">
        <v>0</v>
      </c>
      <c r="T27" s="6">
        <f t="shared" ref="T27" si="69">ROUND(O27/8/I27*S27,0)</f>
        <v>0</v>
      </c>
      <c r="U27" s="6">
        <f t="shared" ref="U27" si="70">O27+P27+Q27+R27+T27</f>
        <v>62205</v>
      </c>
      <c r="V27" s="207">
        <f>MIN(IF(O27&gt;25000,1800,IF(O27&lt;25000,O27*12%)))</f>
        <v>1800</v>
      </c>
      <c r="W27" s="52">
        <f>IF(U27&gt;21000,0,IF(U27&lt;21000,U27*0.75%))</f>
        <v>0</v>
      </c>
      <c r="X27" s="11">
        <f t="shared" ref="X27" si="71">IF(U27&gt;10000,200,IF(U27&lt;=7500,0,IF(U27&gt;7500,175)))</f>
        <v>200</v>
      </c>
      <c r="Y27" s="52">
        <v>0</v>
      </c>
      <c r="Z27" s="52">
        <v>0</v>
      </c>
      <c r="AA27" s="52">
        <v>0</v>
      </c>
      <c r="AB27" s="52">
        <v>0</v>
      </c>
      <c r="AC27" s="12">
        <f t="shared" ref="AC27" si="72">V27+W27+X27+Y27+Z27+AA27+AB27</f>
        <v>2000</v>
      </c>
      <c r="AD27" s="12">
        <f t="shared" ref="AD27" si="73">U27-AC27</f>
        <v>60205</v>
      </c>
      <c r="AE27" s="6"/>
      <c r="AF27" s="6">
        <f>MIN(IF(O27&gt;25000,1800,IF(O27&lt;25000,O27*12%)))</f>
        <v>1800</v>
      </c>
      <c r="AG27" s="6">
        <f t="shared" ref="AG27" si="74">MIN(1800,IF(O27&gt;25000,0,IF(O27&lt;25000,O27*1%)))</f>
        <v>0</v>
      </c>
      <c r="AH27" s="6">
        <f t="shared" ref="AH27" si="75">AF27+AG27</f>
        <v>1800</v>
      </c>
      <c r="AI27" s="13">
        <f t="shared" si="63"/>
        <v>3600</v>
      </c>
      <c r="AJ27" s="52">
        <f t="shared" ref="AJ27" si="76">IF(U27&gt;21000,0,IF(U27&lt;21000,U27*3.25%))</f>
        <v>0</v>
      </c>
      <c r="AK27" s="13">
        <f t="shared" ref="AK27" si="77">W27+AJ27</f>
        <v>0</v>
      </c>
      <c r="AL27" s="6">
        <v>36</v>
      </c>
      <c r="AM27" s="13">
        <f t="shared" ref="AM27" si="78">Y27+AL27</f>
        <v>36</v>
      </c>
      <c r="AN27" s="14">
        <f t="shared" si="64"/>
        <v>63841</v>
      </c>
    </row>
    <row r="28" spans="1:40" ht="63" customHeight="1" x14ac:dyDescent="0.3">
      <c r="A28" s="6">
        <v>19</v>
      </c>
      <c r="B28" s="7" t="s">
        <v>134</v>
      </c>
      <c r="C28" s="8" t="s">
        <v>171</v>
      </c>
      <c r="D28" s="6"/>
      <c r="E28" s="6"/>
      <c r="F28" s="6"/>
      <c r="G28" s="6"/>
      <c r="H28" s="9">
        <v>45761</v>
      </c>
      <c r="I28" s="6">
        <f>AG5</f>
        <v>31</v>
      </c>
      <c r="J28" s="6">
        <f t="shared" si="65"/>
        <v>34500</v>
      </c>
      <c r="K28" s="6">
        <v>16000</v>
      </c>
      <c r="L28" s="6">
        <v>8000</v>
      </c>
      <c r="M28" s="6">
        <v>5250</v>
      </c>
      <c r="N28" s="6">
        <v>5250</v>
      </c>
      <c r="O28" s="6">
        <f t="shared" si="59"/>
        <v>16000</v>
      </c>
      <c r="P28" s="6">
        <f t="shared" ref="P28" si="79">ROUND(L28/$AG$5*I28,0)</f>
        <v>8000</v>
      </c>
      <c r="Q28" s="6">
        <f t="shared" ref="Q28" si="80">ROUND(M28/$AG$5*I28,0)</f>
        <v>5250</v>
      </c>
      <c r="R28" s="6">
        <f t="shared" ref="R28" si="81">ROUND(N28/$AG$5*I28,0)</f>
        <v>5250</v>
      </c>
      <c r="S28" s="6">
        <v>0</v>
      </c>
      <c r="T28" s="6">
        <f t="shared" ref="T28" si="82">ROUND(O28/8/I28*S28,0)</f>
        <v>0</v>
      </c>
      <c r="U28" s="6">
        <f t="shared" ref="U28" si="83">O28+P28+Q28+R28+T28</f>
        <v>34500</v>
      </c>
      <c r="V28" s="6"/>
      <c r="W28" s="52">
        <f>IF(U28&gt;21000,0,IF(U28&lt;21000,U28*0.75%))</f>
        <v>0</v>
      </c>
      <c r="X28" s="11">
        <f t="shared" ref="X28" si="84">IF(U28&gt;10000,200,IF(U28&lt;=7500,0,IF(U28&gt;7500,175)))</f>
        <v>200</v>
      </c>
      <c r="Y28" s="52">
        <v>0</v>
      </c>
      <c r="Z28" s="52">
        <v>0</v>
      </c>
      <c r="AA28" s="52">
        <v>0</v>
      </c>
      <c r="AB28" s="52">
        <v>0</v>
      </c>
      <c r="AC28" s="12">
        <f t="shared" ref="AC28" si="85">V28+W28+X28+Y28+Z28+AA28+AB28</f>
        <v>200</v>
      </c>
      <c r="AD28" s="12">
        <f t="shared" ref="AD28" si="86">U28-AC28</f>
        <v>34300</v>
      </c>
      <c r="AE28" s="6"/>
      <c r="AF28" s="6"/>
      <c r="AG28" s="6">
        <f t="shared" ref="AG28" si="87">MIN(1800,IF(O28&gt;25000,0,IF(O28&lt;25000,O28*1%)))</f>
        <v>160</v>
      </c>
      <c r="AH28" s="6">
        <f t="shared" ref="AH28" si="88">AF28+AG28</f>
        <v>160</v>
      </c>
      <c r="AI28" s="13">
        <f t="shared" si="63"/>
        <v>160</v>
      </c>
      <c r="AJ28" s="52">
        <f t="shared" ref="AJ28" si="89">IF(U28&gt;21000,0,IF(U28&lt;21000,U28*3.25%))</f>
        <v>0</v>
      </c>
      <c r="AK28" s="13">
        <f t="shared" ref="AK28" si="90">W28+AJ28</f>
        <v>0</v>
      </c>
      <c r="AL28" s="6">
        <v>36</v>
      </c>
      <c r="AM28" s="13">
        <f t="shared" ref="AM28" si="91">Y28+AL28</f>
        <v>36</v>
      </c>
      <c r="AN28" s="14">
        <f t="shared" si="64"/>
        <v>34496</v>
      </c>
    </row>
    <row r="29" spans="1:40" ht="63" customHeight="1" x14ac:dyDescent="0.3">
      <c r="A29" s="6">
        <v>19</v>
      </c>
      <c r="B29" s="7" t="s">
        <v>135</v>
      </c>
      <c r="C29" s="8" t="s">
        <v>172</v>
      </c>
      <c r="D29" s="6"/>
      <c r="E29" s="6"/>
      <c r="F29" s="6"/>
      <c r="G29" s="6"/>
      <c r="H29" s="9">
        <v>45814</v>
      </c>
      <c r="I29" s="6">
        <f>AG5</f>
        <v>31</v>
      </c>
      <c r="J29" s="6">
        <f t="shared" si="65"/>
        <v>26800</v>
      </c>
      <c r="K29" s="6">
        <v>12500</v>
      </c>
      <c r="L29" s="6">
        <v>6000</v>
      </c>
      <c r="M29" s="6">
        <v>4500</v>
      </c>
      <c r="N29" s="6">
        <f>2000+1800</f>
        <v>3800</v>
      </c>
      <c r="O29" s="6">
        <f t="shared" si="59"/>
        <v>12500</v>
      </c>
      <c r="P29" s="6">
        <f t="shared" ref="P29" si="92">ROUND(L29/$AG$5*I29,0)</f>
        <v>6000</v>
      </c>
      <c r="Q29" s="6">
        <f t="shared" ref="Q29" si="93">ROUND(M29/$AG$5*I29,0)</f>
        <v>4500</v>
      </c>
      <c r="R29" s="6">
        <f t="shared" ref="R29" si="94">ROUND(N29/$AG$5*I29,0)</f>
        <v>3800</v>
      </c>
      <c r="S29" s="6">
        <v>0</v>
      </c>
      <c r="T29" s="6">
        <f t="shared" ref="T29" si="95">ROUND(O29/8/I29*S29,0)</f>
        <v>0</v>
      </c>
      <c r="U29" s="6">
        <f t="shared" ref="U29" si="96">O29+P29+Q29+R29+T29</f>
        <v>26800</v>
      </c>
      <c r="V29" s="6">
        <v>1800</v>
      </c>
      <c r="W29" s="52"/>
      <c r="X29" s="11">
        <f t="shared" ref="X29" si="97">IF(U29&gt;10000,200,IF(U29&lt;=7500,0,IF(U29&gt;7500,175)))</f>
        <v>200</v>
      </c>
      <c r="Y29" s="52">
        <v>0</v>
      </c>
      <c r="Z29" s="52">
        <v>0</v>
      </c>
      <c r="AA29" s="52">
        <v>0</v>
      </c>
      <c r="AB29" s="52">
        <v>0</v>
      </c>
      <c r="AC29" s="12">
        <f t="shared" ref="AC29" si="98">V29+W29+X29+Y29+Z29+AA29+AB29</f>
        <v>2000</v>
      </c>
      <c r="AD29" s="12">
        <f t="shared" ref="AD29" si="99">U29-AC29</f>
        <v>24800</v>
      </c>
      <c r="AE29" s="6"/>
      <c r="AF29" s="6">
        <v>1800</v>
      </c>
      <c r="AG29" s="6">
        <f t="shared" ref="AG29" si="100">MIN(1800,IF(O29&gt;25000,0,IF(O29&lt;25000,O29*1%)))</f>
        <v>125</v>
      </c>
      <c r="AH29" s="6">
        <f>AF29+AG29</f>
        <v>1925</v>
      </c>
      <c r="AI29" s="13">
        <f t="shared" si="63"/>
        <v>3725</v>
      </c>
      <c r="AJ29" s="52">
        <f>IF(U29&gt;21000,0,IF(U29&lt;21000,U29*3.25%))</f>
        <v>0</v>
      </c>
      <c r="AK29" s="13">
        <f t="shared" ref="AK29" si="101">W29+AJ29</f>
        <v>0</v>
      </c>
      <c r="AL29" s="6">
        <v>36</v>
      </c>
      <c r="AM29" s="13">
        <f t="shared" ref="AM29" si="102">Y29+AL29</f>
        <v>36</v>
      </c>
      <c r="AN29" s="14">
        <f t="shared" si="64"/>
        <v>28561</v>
      </c>
    </row>
    <row r="30" spans="1:40" ht="63" customHeight="1" x14ac:dyDescent="0.3">
      <c r="A30" s="6">
        <v>20</v>
      </c>
      <c r="B30" s="7" t="s">
        <v>137</v>
      </c>
      <c r="C30" s="8" t="s">
        <v>173</v>
      </c>
      <c r="D30" s="6"/>
      <c r="E30" s="6"/>
      <c r="F30" s="6"/>
      <c r="G30" s="6"/>
      <c r="H30" s="9">
        <v>45971</v>
      </c>
      <c r="I30" s="6">
        <f>AG5</f>
        <v>31</v>
      </c>
      <c r="J30" s="6">
        <f t="shared" si="65"/>
        <v>28000</v>
      </c>
      <c r="K30" s="6">
        <v>14000</v>
      </c>
      <c r="L30" s="6">
        <v>7000</v>
      </c>
      <c r="M30" s="6">
        <v>5000</v>
      </c>
      <c r="N30" s="6">
        <v>2000</v>
      </c>
      <c r="O30" s="6">
        <f t="shared" si="59"/>
        <v>14000</v>
      </c>
      <c r="P30" s="6">
        <f t="shared" ref="P30" si="103">ROUND(L30/$AG$5*I30,0)</f>
        <v>7000</v>
      </c>
      <c r="Q30" s="6">
        <f t="shared" ref="Q30" si="104">ROUND(M30/$AG$5*I30,0)</f>
        <v>5000</v>
      </c>
      <c r="R30" s="6">
        <f t="shared" ref="R30" si="105">ROUND(N30/$AG$5*I30,0)</f>
        <v>2000</v>
      </c>
      <c r="S30" s="6">
        <v>0</v>
      </c>
      <c r="T30" s="6">
        <f t="shared" ref="T30:T31" si="106">ROUND(O30/8/I30*S30,0)</f>
        <v>0</v>
      </c>
      <c r="U30" s="6">
        <f t="shared" ref="U30" si="107">O30+P30+Q30+R30+T30</f>
        <v>28000</v>
      </c>
      <c r="V30" s="6"/>
      <c r="W30" s="52"/>
      <c r="X30" s="11">
        <f t="shared" ref="X30" si="108">IF(U30&gt;10000,200,IF(U30&lt;=7500,0,IF(U30&gt;7500,175)))</f>
        <v>200</v>
      </c>
      <c r="Y30" s="52">
        <v>0</v>
      </c>
      <c r="Z30" s="52">
        <v>0</v>
      </c>
      <c r="AA30" s="52">
        <v>0</v>
      </c>
      <c r="AB30" s="52">
        <v>0</v>
      </c>
      <c r="AC30" s="12">
        <f t="shared" ref="AC30" si="109">V30+W30+X30+Y30+Z30+AA30+AB30</f>
        <v>200</v>
      </c>
      <c r="AD30" s="12">
        <f t="shared" ref="AD30" si="110">U30-AC30</f>
        <v>27800</v>
      </c>
      <c r="AE30" s="6"/>
      <c r="AF30" s="6"/>
      <c r="AG30" s="6">
        <f t="shared" ref="AG30" si="111">MIN(1800,IF(O30&gt;25000,0,IF(O30&lt;25000,O30*1%)))</f>
        <v>140</v>
      </c>
      <c r="AH30" s="6">
        <f>AF30+AG30</f>
        <v>140</v>
      </c>
      <c r="AI30" s="13">
        <f t="shared" si="63"/>
        <v>140</v>
      </c>
      <c r="AJ30" s="52">
        <f>IF(U30&gt;21000,0,IF(U30&lt;21000,U30*3.25%))</f>
        <v>0</v>
      </c>
      <c r="AK30" s="13">
        <f t="shared" ref="AK30" si="112">W30+AJ30</f>
        <v>0</v>
      </c>
      <c r="AL30" s="6">
        <v>36</v>
      </c>
      <c r="AM30" s="13">
        <f t="shared" ref="AM30" si="113">Y30+AL30</f>
        <v>36</v>
      </c>
      <c r="AN30" s="14">
        <f t="shared" si="64"/>
        <v>27976</v>
      </c>
    </row>
    <row r="31" spans="1:40" ht="63" customHeight="1" x14ac:dyDescent="0.3">
      <c r="A31" s="6">
        <v>21</v>
      </c>
      <c r="B31" s="7" t="s">
        <v>141</v>
      </c>
      <c r="C31" s="8" t="s">
        <v>174</v>
      </c>
      <c r="D31" s="16"/>
      <c r="E31" s="6"/>
      <c r="F31" s="6"/>
      <c r="G31" s="6"/>
      <c r="H31" s="9">
        <v>46093</v>
      </c>
      <c r="I31" s="16">
        <f>AG5</f>
        <v>31</v>
      </c>
      <c r="J31" s="6">
        <f t="shared" si="65"/>
        <v>66500</v>
      </c>
      <c r="K31" s="6">
        <v>35000</v>
      </c>
      <c r="L31" s="6">
        <v>17500</v>
      </c>
      <c r="M31" s="6">
        <v>12000</v>
      </c>
      <c r="N31" s="6">
        <v>2000</v>
      </c>
      <c r="O31" s="6">
        <f t="shared" si="59"/>
        <v>35000</v>
      </c>
      <c r="P31" s="6">
        <f t="shared" ref="P31" si="114">ROUND(L31/$AG$5*I31,0)</f>
        <v>17500</v>
      </c>
      <c r="Q31" s="6">
        <f t="shared" ref="Q31" si="115">ROUND(M31/$AG$5*I31,0)</f>
        <v>12000</v>
      </c>
      <c r="R31" s="6">
        <f t="shared" ref="R31" si="116">ROUND(N31/$AG$5*I31,0)</f>
        <v>2000</v>
      </c>
      <c r="S31" s="6">
        <v>0</v>
      </c>
      <c r="T31" s="6">
        <f t="shared" si="106"/>
        <v>0</v>
      </c>
      <c r="U31" s="6">
        <f>O31+P31+Q31+R31+T31</f>
        <v>66500</v>
      </c>
      <c r="V31" s="6">
        <v>1800</v>
      </c>
      <c r="W31" s="52"/>
      <c r="X31" s="11">
        <f t="shared" ref="X31" si="117">IF(U31&gt;10000,200,IF(U31&lt;=7500,0,IF(U31&gt;7500,175)))</f>
        <v>200</v>
      </c>
      <c r="Y31" s="52">
        <v>0</v>
      </c>
      <c r="Z31" s="52">
        <v>0</v>
      </c>
      <c r="AA31" s="52">
        <v>0</v>
      </c>
      <c r="AB31" s="52">
        <v>0</v>
      </c>
      <c r="AC31" s="12">
        <f t="shared" ref="AC31" si="118">V31+W31+X31+Y31+Z31+AA31+AB31</f>
        <v>2000</v>
      </c>
      <c r="AD31" s="12">
        <f t="shared" ref="AD31" si="119">U31-AC31</f>
        <v>64500</v>
      </c>
      <c r="AE31" s="6"/>
      <c r="AF31" s="6">
        <v>1800</v>
      </c>
      <c r="AG31" s="6">
        <f t="shared" ref="AG31" si="120">MIN(1800,IF(O31&gt;25000,0,IF(O31&lt;25000,O31*1%)))</f>
        <v>0</v>
      </c>
      <c r="AH31" s="6">
        <f>AF31+AG31</f>
        <v>1800</v>
      </c>
      <c r="AI31" s="13">
        <f t="shared" si="63"/>
        <v>3600</v>
      </c>
      <c r="AJ31" s="52">
        <f>IF(U31&gt;21000,0,IF(U31&lt;21000,U31*3.25%))</f>
        <v>0</v>
      </c>
      <c r="AK31" s="13">
        <f t="shared" ref="AK31" si="121">W31+AJ31</f>
        <v>0</v>
      </c>
      <c r="AL31" s="6">
        <v>36</v>
      </c>
      <c r="AM31" s="13">
        <f t="shared" ref="AM31" si="122">Y31+AL31</f>
        <v>36</v>
      </c>
      <c r="AN31" s="14">
        <f t="shared" si="64"/>
        <v>68136</v>
      </c>
    </row>
    <row r="32" spans="1:40" ht="63" customHeight="1" x14ac:dyDescent="0.3">
      <c r="A32" s="6">
        <v>22</v>
      </c>
      <c r="B32" s="7" t="s">
        <v>142</v>
      </c>
      <c r="C32" s="8" t="s">
        <v>175</v>
      </c>
      <c r="D32" s="141" t="s">
        <v>147</v>
      </c>
      <c r="E32" s="6"/>
      <c r="F32" s="6"/>
      <c r="G32" s="6"/>
      <c r="H32" s="9">
        <v>46125</v>
      </c>
      <c r="I32" s="141">
        <v>30</v>
      </c>
      <c r="J32" s="120">
        <f t="shared" si="65"/>
        <v>61500</v>
      </c>
      <c r="K32" s="120">
        <v>30000</v>
      </c>
      <c r="L32" s="120">
        <v>15000</v>
      </c>
      <c r="M32" s="120">
        <v>14500</v>
      </c>
      <c r="N32" s="120">
        <v>2000</v>
      </c>
      <c r="O32" s="6">
        <f t="shared" ref="O32" si="123">ROUND(K32/$AG$5*I32,0)</f>
        <v>29032</v>
      </c>
      <c r="P32" s="6">
        <f t="shared" ref="P32" si="124">ROUND(L32/$AG$5*I32,0)</f>
        <v>14516</v>
      </c>
      <c r="Q32" s="6">
        <f t="shared" ref="Q32" si="125">ROUND(M32/$AG$5*I32,0)</f>
        <v>14032</v>
      </c>
      <c r="R32" s="6">
        <f t="shared" ref="R32" si="126">ROUND(N32/$AG$5*I32,0)</f>
        <v>1935</v>
      </c>
      <c r="S32" s="6">
        <v>0</v>
      </c>
      <c r="T32" s="6">
        <f t="shared" ref="T32" si="127">ROUND(O32/8/I32*S32,0)</f>
        <v>0</v>
      </c>
      <c r="U32" s="6">
        <f>O32+P32+Q32+R32+T32</f>
        <v>59515</v>
      </c>
      <c r="V32" s="6">
        <v>1800</v>
      </c>
      <c r="W32" s="52"/>
      <c r="X32" s="11">
        <f t="shared" ref="X32" si="128">IF(U32&gt;10000,200,IF(U32&lt;=7500,0,IF(U32&gt;7500,175)))</f>
        <v>200</v>
      </c>
      <c r="Y32" s="52">
        <v>0</v>
      </c>
      <c r="Z32" s="52">
        <v>0</v>
      </c>
      <c r="AA32" s="52">
        <v>0</v>
      </c>
      <c r="AB32" s="52">
        <v>0</v>
      </c>
      <c r="AC32" s="12">
        <f t="shared" ref="AC32" si="129">V32+W32+X32+Y32+Z32+AA32+AB32</f>
        <v>2000</v>
      </c>
      <c r="AD32" s="12">
        <f t="shared" ref="AD32" si="130">U32-AC32</f>
        <v>57515</v>
      </c>
      <c r="AE32" s="6"/>
      <c r="AF32" s="6">
        <v>1800</v>
      </c>
      <c r="AG32" s="6">
        <f t="shared" ref="AG32" si="131">MIN(1800,IF(O32&gt;25000,0,IF(O32&lt;25000,O32*1%)))</f>
        <v>0</v>
      </c>
      <c r="AH32" s="6">
        <f>AF32+AG32</f>
        <v>1800</v>
      </c>
      <c r="AI32" s="13">
        <f t="shared" ref="AI32" si="132">V32+AH32</f>
        <v>3600</v>
      </c>
      <c r="AJ32" s="52">
        <f>IF(U32&gt;21000,0,IF(U32&lt;21000,U32*3.25%))</f>
        <v>0</v>
      </c>
      <c r="AK32" s="13">
        <f t="shared" ref="AK32" si="133">W32+AJ32</f>
        <v>0</v>
      </c>
      <c r="AL32" s="6">
        <v>36</v>
      </c>
      <c r="AM32" s="13">
        <f t="shared" ref="AM32" si="134">Y32+AL32</f>
        <v>36</v>
      </c>
      <c r="AN32" s="14">
        <f t="shared" ref="AN32" si="135">AD32+AI32+AK32+AM32</f>
        <v>61151</v>
      </c>
    </row>
    <row r="33" spans="1:47" s="17" customFormat="1" x14ac:dyDescent="0.3">
      <c r="A33" s="3"/>
      <c r="B33" s="3"/>
      <c r="C33" s="3" t="s">
        <v>78</v>
      </c>
      <c r="D33" s="3"/>
      <c r="E33" s="3"/>
      <c r="F33" s="3"/>
      <c r="G33" s="3"/>
      <c r="H33" s="3"/>
      <c r="I33" s="14">
        <f t="shared" ref="I33:AN33" si="136">SUM(I13:I19)</f>
        <v>124</v>
      </c>
      <c r="J33" s="14">
        <f t="shared" si="136"/>
        <v>190161</v>
      </c>
      <c r="K33" s="14">
        <f t="shared" si="136"/>
        <v>93818</v>
      </c>
      <c r="L33" s="14">
        <f t="shared" si="136"/>
        <v>48159</v>
      </c>
      <c r="M33" s="14">
        <f t="shared" si="136"/>
        <v>28921</v>
      </c>
      <c r="N33" s="14">
        <f t="shared" si="136"/>
        <v>19263</v>
      </c>
      <c r="O33" s="14">
        <f t="shared" si="136"/>
        <v>85318</v>
      </c>
      <c r="P33" s="14">
        <f t="shared" si="136"/>
        <v>43909</v>
      </c>
      <c r="Q33" s="14">
        <f t="shared" si="136"/>
        <v>26371</v>
      </c>
      <c r="R33" s="14">
        <f t="shared" si="136"/>
        <v>17563</v>
      </c>
      <c r="S33" s="14">
        <f t="shared" si="136"/>
        <v>0</v>
      </c>
      <c r="T33" s="14" t="e">
        <f t="shared" si="136"/>
        <v>#DIV/0!</v>
      </c>
      <c r="U33" s="14">
        <f t="shared" si="136"/>
        <v>190161</v>
      </c>
      <c r="V33" s="14">
        <f t="shared" si="136"/>
        <v>1200</v>
      </c>
      <c r="W33" s="14">
        <f t="shared" si="136"/>
        <v>127.5</v>
      </c>
      <c r="X33" s="14">
        <f t="shared" si="136"/>
        <v>1000</v>
      </c>
      <c r="Y33" s="14">
        <f t="shared" si="136"/>
        <v>0</v>
      </c>
      <c r="Z33" s="14">
        <f t="shared" si="136"/>
        <v>0</v>
      </c>
      <c r="AA33" s="14">
        <f t="shared" si="136"/>
        <v>0</v>
      </c>
      <c r="AB33" s="14">
        <f t="shared" si="136"/>
        <v>0</v>
      </c>
      <c r="AC33" s="14">
        <f t="shared" si="136"/>
        <v>2327.5</v>
      </c>
      <c r="AD33" s="14">
        <f t="shared" si="136"/>
        <v>187833.5</v>
      </c>
      <c r="AE33" s="14">
        <f t="shared" si="136"/>
        <v>0</v>
      </c>
      <c r="AF33" s="14">
        <f t="shared" si="136"/>
        <v>1200</v>
      </c>
      <c r="AG33" s="14">
        <f t="shared" si="136"/>
        <v>100</v>
      </c>
      <c r="AH33" s="14">
        <f t="shared" si="136"/>
        <v>1300</v>
      </c>
      <c r="AI33" s="14">
        <f t="shared" si="136"/>
        <v>2500</v>
      </c>
      <c r="AJ33" s="14">
        <f t="shared" si="136"/>
        <v>552.5</v>
      </c>
      <c r="AK33" s="14">
        <f t="shared" si="136"/>
        <v>680</v>
      </c>
      <c r="AL33" s="14">
        <f t="shared" si="136"/>
        <v>180</v>
      </c>
      <c r="AM33" s="14">
        <f t="shared" si="136"/>
        <v>180</v>
      </c>
      <c r="AN33" s="14">
        <f t="shared" si="136"/>
        <v>191193.5</v>
      </c>
    </row>
    <row r="34" spans="1:47" x14ac:dyDescent="0.3">
      <c r="B34" s="2" t="s">
        <v>79</v>
      </c>
    </row>
    <row r="35" spans="1:47" x14ac:dyDescent="0.3">
      <c r="B35" s="2" t="s">
        <v>80</v>
      </c>
      <c r="AD35" s="2">
        <v>52312</v>
      </c>
    </row>
    <row r="36" spans="1:47" x14ac:dyDescent="0.3">
      <c r="B36" s="2" t="s">
        <v>81</v>
      </c>
      <c r="T36" s="161" t="s">
        <v>82</v>
      </c>
      <c r="U36" s="161"/>
      <c r="V36" s="161"/>
      <c r="W36" s="2">
        <f>W33/0.75%</f>
        <v>17000</v>
      </c>
      <c r="AD36" s="2">
        <f>AD33-AD35</f>
        <v>135521.5</v>
      </c>
      <c r="AK36" s="2">
        <v>41989</v>
      </c>
    </row>
    <row r="37" spans="1:47" x14ac:dyDescent="0.3">
      <c r="T37" s="17"/>
      <c r="U37" s="17" t="s">
        <v>83</v>
      </c>
      <c r="V37" s="17"/>
      <c r="W37" s="17">
        <f>W36*4%</f>
        <v>680</v>
      </c>
      <c r="AK37" s="2">
        <v>17238</v>
      </c>
      <c r="AN37" s="14">
        <v>414645.33</v>
      </c>
    </row>
    <row r="38" spans="1:47" x14ac:dyDescent="0.3">
      <c r="L38" s="2">
        <f>18000/31*20</f>
        <v>11612.903225806451</v>
      </c>
      <c r="AK38" s="2">
        <v>11505</v>
      </c>
      <c r="AT38" s="2">
        <f>1799</f>
        <v>1799</v>
      </c>
      <c r="AU38" s="2">
        <f>AT38*75</f>
        <v>134925</v>
      </c>
    </row>
    <row r="39" spans="1:47" x14ac:dyDescent="0.3">
      <c r="L39" s="2">
        <f>L38*12%</f>
        <v>1393.5483870967741</v>
      </c>
      <c r="T39" s="161" t="s">
        <v>84</v>
      </c>
      <c r="U39" s="161"/>
      <c r="V39" s="161"/>
      <c r="W39" s="2">
        <f>V33/12%</f>
        <v>10000</v>
      </c>
      <c r="AK39" s="2">
        <f>SUM(AK36:AK38)</f>
        <v>70732</v>
      </c>
      <c r="AU39" s="2">
        <f>AU38/3</f>
        <v>44975</v>
      </c>
    </row>
    <row r="40" spans="1:47" x14ac:dyDescent="0.3">
      <c r="T40" s="165" t="s">
        <v>85</v>
      </c>
      <c r="U40" s="165"/>
      <c r="V40" s="165"/>
      <c r="W40" s="17">
        <f>ROUND(W39*25%,0)+200</f>
        <v>2700</v>
      </c>
      <c r="AM40" s="2">
        <v>50000</v>
      </c>
      <c r="AN40" s="2">
        <v>125000</v>
      </c>
      <c r="AO40" s="2">
        <v>25000</v>
      </c>
      <c r="AP40" s="2">
        <v>160000</v>
      </c>
      <c r="AR40" s="2">
        <f>263000*12</f>
        <v>3156000</v>
      </c>
    </row>
    <row r="41" spans="1:47" x14ac:dyDescent="0.3">
      <c r="AM41" s="2">
        <v>70000</v>
      </c>
      <c r="AN41" s="2">
        <v>100000</v>
      </c>
      <c r="AO41" s="2">
        <v>14000</v>
      </c>
    </row>
    <row r="42" spans="1:47" x14ac:dyDescent="0.3">
      <c r="T42" s="17" t="s">
        <v>86</v>
      </c>
      <c r="U42" s="17"/>
      <c r="V42" s="17"/>
      <c r="W42" s="18">
        <f>W37+W40</f>
        <v>3380</v>
      </c>
      <c r="AM42" s="2">
        <v>50000</v>
      </c>
      <c r="AN42" s="2">
        <f>465000/12</f>
        <v>38750</v>
      </c>
      <c r="AO42" s="2">
        <v>10000</v>
      </c>
    </row>
    <row r="43" spans="1:47" x14ac:dyDescent="0.3">
      <c r="AM43" s="2">
        <f>SUM(AM40:AM42)</f>
        <v>170000</v>
      </c>
      <c r="AO43" s="2">
        <f>SUM(AO40:AO42)</f>
        <v>49000</v>
      </c>
    </row>
    <row r="44" spans="1:47" x14ac:dyDescent="0.3">
      <c r="T44" s="2" t="s">
        <v>87</v>
      </c>
      <c r="V44" s="2" t="s">
        <v>88</v>
      </c>
      <c r="W44" s="2">
        <f>X33</f>
        <v>1000</v>
      </c>
    </row>
    <row r="45" spans="1:47" x14ac:dyDescent="0.3">
      <c r="T45" s="2" t="s">
        <v>89</v>
      </c>
      <c r="V45" s="2" t="s">
        <v>90</v>
      </c>
      <c r="W45" s="2">
        <f>AM33</f>
        <v>180</v>
      </c>
      <c r="AN45" s="2">
        <f>SUM(AN40:AN44)</f>
        <v>263750</v>
      </c>
      <c r="AO45" s="2">
        <f>AM43/AN45</f>
        <v>0.64454976303317535</v>
      </c>
    </row>
    <row r="46" spans="1:47" x14ac:dyDescent="0.3">
      <c r="AQ46" s="37">
        <v>0.1</v>
      </c>
      <c r="AR46" s="38">
        <v>50000000</v>
      </c>
      <c r="AS46" s="38">
        <f>AQ46*AR46</f>
        <v>5000000</v>
      </c>
    </row>
    <row r="47" spans="1:47" x14ac:dyDescent="0.3">
      <c r="T47" s="17" t="s">
        <v>91</v>
      </c>
      <c r="U47" s="17"/>
      <c r="V47" s="17"/>
      <c r="W47" s="18">
        <f>W42+W44+W45</f>
        <v>4560</v>
      </c>
      <c r="AN47" s="36">
        <f>AN45-AN33</f>
        <v>72556.5</v>
      </c>
      <c r="AQ47" s="37">
        <v>0.3</v>
      </c>
      <c r="AR47" s="38">
        <v>20000000</v>
      </c>
      <c r="AS47" s="38">
        <f>AQ47*AR47</f>
        <v>6000000</v>
      </c>
    </row>
    <row r="48" spans="1:47" x14ac:dyDescent="0.3">
      <c r="AQ48" s="37">
        <f t="shared" ref="AQ48:AR48" si="137">SUM(AQ46:AQ47)</f>
        <v>0.4</v>
      </c>
      <c r="AR48" s="38">
        <f t="shared" si="137"/>
        <v>70000000</v>
      </c>
      <c r="AS48" s="38">
        <f>SUM(AS46:AS47)</f>
        <v>11000000</v>
      </c>
    </row>
    <row r="49" spans="21:40" x14ac:dyDescent="0.3">
      <c r="U49" s="2" t="e">
        <f>#REF!*12</f>
        <v>#REF!</v>
      </c>
    </row>
    <row r="50" spans="21:40" x14ac:dyDescent="0.3">
      <c r="AN50" s="2">
        <f>AN45+AO43+AP40</f>
        <v>472750</v>
      </c>
    </row>
    <row r="51" spans="21:40" x14ac:dyDescent="0.3">
      <c r="AN51" s="2">
        <f>AN50-AN45</f>
        <v>209000</v>
      </c>
    </row>
  </sheetData>
  <mergeCells count="14">
    <mergeCell ref="T40:V40"/>
    <mergeCell ref="A5:U8"/>
    <mergeCell ref="W5:AE8"/>
    <mergeCell ref="AG5:AI8"/>
    <mergeCell ref="A9:AE9"/>
    <mergeCell ref="T36:V36"/>
    <mergeCell ref="T39:V39"/>
    <mergeCell ref="AG4:AI4"/>
    <mergeCell ref="AJ5:AJ8"/>
    <mergeCell ref="A1:AE1"/>
    <mergeCell ref="A2:AE2"/>
    <mergeCell ref="A3:AE3"/>
    <mergeCell ref="A4:U4"/>
    <mergeCell ref="W4:AE4"/>
  </mergeCells>
  <phoneticPr fontId="2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36"/>
  <sheetViews>
    <sheetView topLeftCell="A5" zoomScale="85" zoomScaleNormal="85" workbookViewId="0">
      <selection activeCell="C13" sqref="C13:C30"/>
    </sheetView>
  </sheetViews>
  <sheetFormatPr defaultRowHeight="14.4" x14ac:dyDescent="0.3"/>
  <cols>
    <col min="1" max="1" width="4.5546875" customWidth="1"/>
    <col min="2" max="2" width="10.77734375" customWidth="1"/>
    <col min="3" max="4" width="15.77734375" customWidth="1"/>
    <col min="5" max="5" width="21.21875" customWidth="1"/>
    <col min="6" max="36" width="3.21875" customWidth="1"/>
    <col min="37" max="37" width="7.77734375" bestFit="1" customWidth="1"/>
    <col min="38" max="38" width="13.77734375" customWidth="1"/>
    <col min="258" max="258" width="4.5546875" customWidth="1"/>
    <col min="259" max="259" width="10.77734375" customWidth="1"/>
    <col min="260" max="261" width="15.77734375" customWidth="1"/>
    <col min="262" max="262" width="21.21875" customWidth="1"/>
    <col min="263" max="292" width="3.21875" customWidth="1"/>
    <col min="293" max="293" width="7.77734375" bestFit="1" customWidth="1"/>
    <col min="514" max="514" width="4.5546875" customWidth="1"/>
    <col min="515" max="515" width="10.77734375" customWidth="1"/>
    <col min="516" max="517" width="15.77734375" customWidth="1"/>
    <col min="518" max="518" width="21.21875" customWidth="1"/>
    <col min="519" max="548" width="3.21875" customWidth="1"/>
    <col min="549" max="549" width="7.77734375" bestFit="1" customWidth="1"/>
    <col min="770" max="770" width="4.5546875" customWidth="1"/>
    <col min="771" max="771" width="10.77734375" customWidth="1"/>
    <col min="772" max="773" width="15.77734375" customWidth="1"/>
    <col min="774" max="774" width="21.21875" customWidth="1"/>
    <col min="775" max="804" width="3.21875" customWidth="1"/>
    <col min="805" max="805" width="7.77734375" bestFit="1" customWidth="1"/>
    <col min="1026" max="1026" width="4.5546875" customWidth="1"/>
    <col min="1027" max="1027" width="10.77734375" customWidth="1"/>
    <col min="1028" max="1029" width="15.77734375" customWidth="1"/>
    <col min="1030" max="1030" width="21.21875" customWidth="1"/>
    <col min="1031" max="1060" width="3.21875" customWidth="1"/>
    <col min="1061" max="1061" width="7.77734375" bestFit="1" customWidth="1"/>
    <col min="1282" max="1282" width="4.5546875" customWidth="1"/>
    <col min="1283" max="1283" width="10.77734375" customWidth="1"/>
    <col min="1284" max="1285" width="15.77734375" customWidth="1"/>
    <col min="1286" max="1286" width="21.21875" customWidth="1"/>
    <col min="1287" max="1316" width="3.21875" customWidth="1"/>
    <col min="1317" max="1317" width="7.77734375" bestFit="1" customWidth="1"/>
    <col min="1538" max="1538" width="4.5546875" customWidth="1"/>
    <col min="1539" max="1539" width="10.77734375" customWidth="1"/>
    <col min="1540" max="1541" width="15.77734375" customWidth="1"/>
    <col min="1542" max="1542" width="21.21875" customWidth="1"/>
    <col min="1543" max="1572" width="3.21875" customWidth="1"/>
    <col min="1573" max="1573" width="7.77734375" bestFit="1" customWidth="1"/>
    <col min="1794" max="1794" width="4.5546875" customWidth="1"/>
    <col min="1795" max="1795" width="10.77734375" customWidth="1"/>
    <col min="1796" max="1797" width="15.77734375" customWidth="1"/>
    <col min="1798" max="1798" width="21.21875" customWidth="1"/>
    <col min="1799" max="1828" width="3.21875" customWidth="1"/>
    <col min="1829" max="1829" width="7.77734375" bestFit="1" customWidth="1"/>
    <col min="2050" max="2050" width="4.5546875" customWidth="1"/>
    <col min="2051" max="2051" width="10.77734375" customWidth="1"/>
    <col min="2052" max="2053" width="15.77734375" customWidth="1"/>
    <col min="2054" max="2054" width="21.21875" customWidth="1"/>
    <col min="2055" max="2084" width="3.21875" customWidth="1"/>
    <col min="2085" max="2085" width="7.77734375" bestFit="1" customWidth="1"/>
    <col min="2306" max="2306" width="4.5546875" customWidth="1"/>
    <col min="2307" max="2307" width="10.77734375" customWidth="1"/>
    <col min="2308" max="2309" width="15.77734375" customWidth="1"/>
    <col min="2310" max="2310" width="21.21875" customWidth="1"/>
    <col min="2311" max="2340" width="3.21875" customWidth="1"/>
    <col min="2341" max="2341" width="7.77734375" bestFit="1" customWidth="1"/>
    <col min="2562" max="2562" width="4.5546875" customWidth="1"/>
    <col min="2563" max="2563" width="10.77734375" customWidth="1"/>
    <col min="2564" max="2565" width="15.77734375" customWidth="1"/>
    <col min="2566" max="2566" width="21.21875" customWidth="1"/>
    <col min="2567" max="2596" width="3.21875" customWidth="1"/>
    <col min="2597" max="2597" width="7.77734375" bestFit="1" customWidth="1"/>
    <col min="2818" max="2818" width="4.5546875" customWidth="1"/>
    <col min="2819" max="2819" width="10.77734375" customWidth="1"/>
    <col min="2820" max="2821" width="15.77734375" customWidth="1"/>
    <col min="2822" max="2822" width="21.21875" customWidth="1"/>
    <col min="2823" max="2852" width="3.21875" customWidth="1"/>
    <col min="2853" max="2853" width="7.77734375" bestFit="1" customWidth="1"/>
    <col min="3074" max="3074" width="4.5546875" customWidth="1"/>
    <col min="3075" max="3075" width="10.77734375" customWidth="1"/>
    <col min="3076" max="3077" width="15.77734375" customWidth="1"/>
    <col min="3078" max="3078" width="21.21875" customWidth="1"/>
    <col min="3079" max="3108" width="3.21875" customWidth="1"/>
    <col min="3109" max="3109" width="7.77734375" bestFit="1" customWidth="1"/>
    <col min="3330" max="3330" width="4.5546875" customWidth="1"/>
    <col min="3331" max="3331" width="10.77734375" customWidth="1"/>
    <col min="3332" max="3333" width="15.77734375" customWidth="1"/>
    <col min="3334" max="3334" width="21.21875" customWidth="1"/>
    <col min="3335" max="3364" width="3.21875" customWidth="1"/>
    <col min="3365" max="3365" width="7.77734375" bestFit="1" customWidth="1"/>
    <col min="3586" max="3586" width="4.5546875" customWidth="1"/>
    <col min="3587" max="3587" width="10.77734375" customWidth="1"/>
    <col min="3588" max="3589" width="15.77734375" customWidth="1"/>
    <col min="3590" max="3590" width="21.21875" customWidth="1"/>
    <col min="3591" max="3620" width="3.21875" customWidth="1"/>
    <col min="3621" max="3621" width="7.77734375" bestFit="1" customWidth="1"/>
    <col min="3842" max="3842" width="4.5546875" customWidth="1"/>
    <col min="3843" max="3843" width="10.77734375" customWidth="1"/>
    <col min="3844" max="3845" width="15.77734375" customWidth="1"/>
    <col min="3846" max="3846" width="21.21875" customWidth="1"/>
    <col min="3847" max="3876" width="3.21875" customWidth="1"/>
    <col min="3877" max="3877" width="7.77734375" bestFit="1" customWidth="1"/>
    <col min="4098" max="4098" width="4.5546875" customWidth="1"/>
    <col min="4099" max="4099" width="10.77734375" customWidth="1"/>
    <col min="4100" max="4101" width="15.77734375" customWidth="1"/>
    <col min="4102" max="4102" width="21.21875" customWidth="1"/>
    <col min="4103" max="4132" width="3.21875" customWidth="1"/>
    <col min="4133" max="4133" width="7.77734375" bestFit="1" customWidth="1"/>
    <col min="4354" max="4354" width="4.5546875" customWidth="1"/>
    <col min="4355" max="4355" width="10.77734375" customWidth="1"/>
    <col min="4356" max="4357" width="15.77734375" customWidth="1"/>
    <col min="4358" max="4358" width="21.21875" customWidth="1"/>
    <col min="4359" max="4388" width="3.21875" customWidth="1"/>
    <col min="4389" max="4389" width="7.77734375" bestFit="1" customWidth="1"/>
    <col min="4610" max="4610" width="4.5546875" customWidth="1"/>
    <col min="4611" max="4611" width="10.77734375" customWidth="1"/>
    <col min="4612" max="4613" width="15.77734375" customWidth="1"/>
    <col min="4614" max="4614" width="21.21875" customWidth="1"/>
    <col min="4615" max="4644" width="3.21875" customWidth="1"/>
    <col min="4645" max="4645" width="7.77734375" bestFit="1" customWidth="1"/>
    <col min="4866" max="4866" width="4.5546875" customWidth="1"/>
    <col min="4867" max="4867" width="10.77734375" customWidth="1"/>
    <col min="4868" max="4869" width="15.77734375" customWidth="1"/>
    <col min="4870" max="4870" width="21.21875" customWidth="1"/>
    <col min="4871" max="4900" width="3.21875" customWidth="1"/>
    <col min="4901" max="4901" width="7.77734375" bestFit="1" customWidth="1"/>
    <col min="5122" max="5122" width="4.5546875" customWidth="1"/>
    <col min="5123" max="5123" width="10.77734375" customWidth="1"/>
    <col min="5124" max="5125" width="15.77734375" customWidth="1"/>
    <col min="5126" max="5126" width="21.21875" customWidth="1"/>
    <col min="5127" max="5156" width="3.21875" customWidth="1"/>
    <col min="5157" max="5157" width="7.77734375" bestFit="1" customWidth="1"/>
    <col min="5378" max="5378" width="4.5546875" customWidth="1"/>
    <col min="5379" max="5379" width="10.77734375" customWidth="1"/>
    <col min="5380" max="5381" width="15.77734375" customWidth="1"/>
    <col min="5382" max="5382" width="21.21875" customWidth="1"/>
    <col min="5383" max="5412" width="3.21875" customWidth="1"/>
    <col min="5413" max="5413" width="7.77734375" bestFit="1" customWidth="1"/>
    <col min="5634" max="5634" width="4.5546875" customWidth="1"/>
    <col min="5635" max="5635" width="10.77734375" customWidth="1"/>
    <col min="5636" max="5637" width="15.77734375" customWidth="1"/>
    <col min="5638" max="5638" width="21.21875" customWidth="1"/>
    <col min="5639" max="5668" width="3.21875" customWidth="1"/>
    <col min="5669" max="5669" width="7.77734375" bestFit="1" customWidth="1"/>
    <col min="5890" max="5890" width="4.5546875" customWidth="1"/>
    <col min="5891" max="5891" width="10.77734375" customWidth="1"/>
    <col min="5892" max="5893" width="15.77734375" customWidth="1"/>
    <col min="5894" max="5894" width="21.21875" customWidth="1"/>
    <col min="5895" max="5924" width="3.21875" customWidth="1"/>
    <col min="5925" max="5925" width="7.77734375" bestFit="1" customWidth="1"/>
    <col min="6146" max="6146" width="4.5546875" customWidth="1"/>
    <col min="6147" max="6147" width="10.77734375" customWidth="1"/>
    <col min="6148" max="6149" width="15.77734375" customWidth="1"/>
    <col min="6150" max="6150" width="21.21875" customWidth="1"/>
    <col min="6151" max="6180" width="3.21875" customWidth="1"/>
    <col min="6181" max="6181" width="7.77734375" bestFit="1" customWidth="1"/>
    <col min="6402" max="6402" width="4.5546875" customWidth="1"/>
    <col min="6403" max="6403" width="10.77734375" customWidth="1"/>
    <col min="6404" max="6405" width="15.77734375" customWidth="1"/>
    <col min="6406" max="6406" width="21.21875" customWidth="1"/>
    <col min="6407" max="6436" width="3.21875" customWidth="1"/>
    <col min="6437" max="6437" width="7.77734375" bestFit="1" customWidth="1"/>
    <col min="6658" max="6658" width="4.5546875" customWidth="1"/>
    <col min="6659" max="6659" width="10.77734375" customWidth="1"/>
    <col min="6660" max="6661" width="15.77734375" customWidth="1"/>
    <col min="6662" max="6662" width="21.21875" customWidth="1"/>
    <col min="6663" max="6692" width="3.21875" customWidth="1"/>
    <col min="6693" max="6693" width="7.77734375" bestFit="1" customWidth="1"/>
    <col min="6914" max="6914" width="4.5546875" customWidth="1"/>
    <col min="6915" max="6915" width="10.77734375" customWidth="1"/>
    <col min="6916" max="6917" width="15.77734375" customWidth="1"/>
    <col min="6918" max="6918" width="21.21875" customWidth="1"/>
    <col min="6919" max="6948" width="3.21875" customWidth="1"/>
    <col min="6949" max="6949" width="7.77734375" bestFit="1" customWidth="1"/>
    <col min="7170" max="7170" width="4.5546875" customWidth="1"/>
    <col min="7171" max="7171" width="10.77734375" customWidth="1"/>
    <col min="7172" max="7173" width="15.77734375" customWidth="1"/>
    <col min="7174" max="7174" width="21.21875" customWidth="1"/>
    <col min="7175" max="7204" width="3.21875" customWidth="1"/>
    <col min="7205" max="7205" width="7.77734375" bestFit="1" customWidth="1"/>
    <col min="7426" max="7426" width="4.5546875" customWidth="1"/>
    <col min="7427" max="7427" width="10.77734375" customWidth="1"/>
    <col min="7428" max="7429" width="15.77734375" customWidth="1"/>
    <col min="7430" max="7430" width="21.21875" customWidth="1"/>
    <col min="7431" max="7460" width="3.21875" customWidth="1"/>
    <col min="7461" max="7461" width="7.77734375" bestFit="1" customWidth="1"/>
    <col min="7682" max="7682" width="4.5546875" customWidth="1"/>
    <col min="7683" max="7683" width="10.77734375" customWidth="1"/>
    <col min="7684" max="7685" width="15.77734375" customWidth="1"/>
    <col min="7686" max="7686" width="21.21875" customWidth="1"/>
    <col min="7687" max="7716" width="3.21875" customWidth="1"/>
    <col min="7717" max="7717" width="7.77734375" bestFit="1" customWidth="1"/>
    <col min="7938" max="7938" width="4.5546875" customWidth="1"/>
    <col min="7939" max="7939" width="10.77734375" customWidth="1"/>
    <col min="7940" max="7941" width="15.77734375" customWidth="1"/>
    <col min="7942" max="7942" width="21.21875" customWidth="1"/>
    <col min="7943" max="7972" width="3.21875" customWidth="1"/>
    <col min="7973" max="7973" width="7.77734375" bestFit="1" customWidth="1"/>
    <col min="8194" max="8194" width="4.5546875" customWidth="1"/>
    <col min="8195" max="8195" width="10.77734375" customWidth="1"/>
    <col min="8196" max="8197" width="15.77734375" customWidth="1"/>
    <col min="8198" max="8198" width="21.21875" customWidth="1"/>
    <col min="8199" max="8228" width="3.21875" customWidth="1"/>
    <col min="8229" max="8229" width="7.77734375" bestFit="1" customWidth="1"/>
    <col min="8450" max="8450" width="4.5546875" customWidth="1"/>
    <col min="8451" max="8451" width="10.77734375" customWidth="1"/>
    <col min="8452" max="8453" width="15.77734375" customWidth="1"/>
    <col min="8454" max="8454" width="21.21875" customWidth="1"/>
    <col min="8455" max="8484" width="3.21875" customWidth="1"/>
    <col min="8485" max="8485" width="7.77734375" bestFit="1" customWidth="1"/>
    <col min="8706" max="8706" width="4.5546875" customWidth="1"/>
    <col min="8707" max="8707" width="10.77734375" customWidth="1"/>
    <col min="8708" max="8709" width="15.77734375" customWidth="1"/>
    <col min="8710" max="8710" width="21.21875" customWidth="1"/>
    <col min="8711" max="8740" width="3.21875" customWidth="1"/>
    <col min="8741" max="8741" width="7.77734375" bestFit="1" customWidth="1"/>
    <col min="8962" max="8962" width="4.5546875" customWidth="1"/>
    <col min="8963" max="8963" width="10.77734375" customWidth="1"/>
    <col min="8964" max="8965" width="15.77734375" customWidth="1"/>
    <col min="8966" max="8966" width="21.21875" customWidth="1"/>
    <col min="8967" max="8996" width="3.21875" customWidth="1"/>
    <col min="8997" max="8997" width="7.77734375" bestFit="1" customWidth="1"/>
    <col min="9218" max="9218" width="4.5546875" customWidth="1"/>
    <col min="9219" max="9219" width="10.77734375" customWidth="1"/>
    <col min="9220" max="9221" width="15.77734375" customWidth="1"/>
    <col min="9222" max="9222" width="21.21875" customWidth="1"/>
    <col min="9223" max="9252" width="3.21875" customWidth="1"/>
    <col min="9253" max="9253" width="7.77734375" bestFit="1" customWidth="1"/>
    <col min="9474" max="9474" width="4.5546875" customWidth="1"/>
    <col min="9475" max="9475" width="10.77734375" customWidth="1"/>
    <col min="9476" max="9477" width="15.77734375" customWidth="1"/>
    <col min="9478" max="9478" width="21.21875" customWidth="1"/>
    <col min="9479" max="9508" width="3.21875" customWidth="1"/>
    <col min="9509" max="9509" width="7.77734375" bestFit="1" customWidth="1"/>
    <col min="9730" max="9730" width="4.5546875" customWidth="1"/>
    <col min="9731" max="9731" width="10.77734375" customWidth="1"/>
    <col min="9732" max="9733" width="15.77734375" customWidth="1"/>
    <col min="9734" max="9734" width="21.21875" customWidth="1"/>
    <col min="9735" max="9764" width="3.21875" customWidth="1"/>
    <col min="9765" max="9765" width="7.77734375" bestFit="1" customWidth="1"/>
    <col min="9986" max="9986" width="4.5546875" customWidth="1"/>
    <col min="9987" max="9987" width="10.77734375" customWidth="1"/>
    <col min="9988" max="9989" width="15.77734375" customWidth="1"/>
    <col min="9990" max="9990" width="21.21875" customWidth="1"/>
    <col min="9991" max="10020" width="3.21875" customWidth="1"/>
    <col min="10021" max="10021" width="7.77734375" bestFit="1" customWidth="1"/>
    <col min="10242" max="10242" width="4.5546875" customWidth="1"/>
    <col min="10243" max="10243" width="10.77734375" customWidth="1"/>
    <col min="10244" max="10245" width="15.77734375" customWidth="1"/>
    <col min="10246" max="10246" width="21.21875" customWidth="1"/>
    <col min="10247" max="10276" width="3.21875" customWidth="1"/>
    <col min="10277" max="10277" width="7.77734375" bestFit="1" customWidth="1"/>
    <col min="10498" max="10498" width="4.5546875" customWidth="1"/>
    <col min="10499" max="10499" width="10.77734375" customWidth="1"/>
    <col min="10500" max="10501" width="15.77734375" customWidth="1"/>
    <col min="10502" max="10502" width="21.21875" customWidth="1"/>
    <col min="10503" max="10532" width="3.21875" customWidth="1"/>
    <col min="10533" max="10533" width="7.77734375" bestFit="1" customWidth="1"/>
    <col min="10754" max="10754" width="4.5546875" customWidth="1"/>
    <col min="10755" max="10755" width="10.77734375" customWidth="1"/>
    <col min="10756" max="10757" width="15.77734375" customWidth="1"/>
    <col min="10758" max="10758" width="21.21875" customWidth="1"/>
    <col min="10759" max="10788" width="3.21875" customWidth="1"/>
    <col min="10789" max="10789" width="7.77734375" bestFit="1" customWidth="1"/>
    <col min="11010" max="11010" width="4.5546875" customWidth="1"/>
    <col min="11011" max="11011" width="10.77734375" customWidth="1"/>
    <col min="11012" max="11013" width="15.77734375" customWidth="1"/>
    <col min="11014" max="11014" width="21.21875" customWidth="1"/>
    <col min="11015" max="11044" width="3.21875" customWidth="1"/>
    <col min="11045" max="11045" width="7.77734375" bestFit="1" customWidth="1"/>
    <col min="11266" max="11266" width="4.5546875" customWidth="1"/>
    <col min="11267" max="11267" width="10.77734375" customWidth="1"/>
    <col min="11268" max="11269" width="15.77734375" customWidth="1"/>
    <col min="11270" max="11270" width="21.21875" customWidth="1"/>
    <col min="11271" max="11300" width="3.21875" customWidth="1"/>
    <col min="11301" max="11301" width="7.77734375" bestFit="1" customWidth="1"/>
    <col min="11522" max="11522" width="4.5546875" customWidth="1"/>
    <col min="11523" max="11523" width="10.77734375" customWidth="1"/>
    <col min="11524" max="11525" width="15.77734375" customWidth="1"/>
    <col min="11526" max="11526" width="21.21875" customWidth="1"/>
    <col min="11527" max="11556" width="3.21875" customWidth="1"/>
    <col min="11557" max="11557" width="7.77734375" bestFit="1" customWidth="1"/>
    <col min="11778" max="11778" width="4.5546875" customWidth="1"/>
    <col min="11779" max="11779" width="10.77734375" customWidth="1"/>
    <col min="11780" max="11781" width="15.77734375" customWidth="1"/>
    <col min="11782" max="11782" width="21.21875" customWidth="1"/>
    <col min="11783" max="11812" width="3.21875" customWidth="1"/>
    <col min="11813" max="11813" width="7.77734375" bestFit="1" customWidth="1"/>
    <col min="12034" max="12034" width="4.5546875" customWidth="1"/>
    <col min="12035" max="12035" width="10.77734375" customWidth="1"/>
    <col min="12036" max="12037" width="15.77734375" customWidth="1"/>
    <col min="12038" max="12038" width="21.21875" customWidth="1"/>
    <col min="12039" max="12068" width="3.21875" customWidth="1"/>
    <col min="12069" max="12069" width="7.77734375" bestFit="1" customWidth="1"/>
    <col min="12290" max="12290" width="4.5546875" customWidth="1"/>
    <col min="12291" max="12291" width="10.77734375" customWidth="1"/>
    <col min="12292" max="12293" width="15.77734375" customWidth="1"/>
    <col min="12294" max="12294" width="21.21875" customWidth="1"/>
    <col min="12295" max="12324" width="3.21875" customWidth="1"/>
    <col min="12325" max="12325" width="7.77734375" bestFit="1" customWidth="1"/>
    <col min="12546" max="12546" width="4.5546875" customWidth="1"/>
    <col min="12547" max="12547" width="10.77734375" customWidth="1"/>
    <col min="12548" max="12549" width="15.77734375" customWidth="1"/>
    <col min="12550" max="12550" width="21.21875" customWidth="1"/>
    <col min="12551" max="12580" width="3.21875" customWidth="1"/>
    <col min="12581" max="12581" width="7.77734375" bestFit="1" customWidth="1"/>
    <col min="12802" max="12802" width="4.5546875" customWidth="1"/>
    <col min="12803" max="12803" width="10.77734375" customWidth="1"/>
    <col min="12804" max="12805" width="15.77734375" customWidth="1"/>
    <col min="12806" max="12806" width="21.21875" customWidth="1"/>
    <col min="12807" max="12836" width="3.21875" customWidth="1"/>
    <col min="12837" max="12837" width="7.77734375" bestFit="1" customWidth="1"/>
    <col min="13058" max="13058" width="4.5546875" customWidth="1"/>
    <col min="13059" max="13059" width="10.77734375" customWidth="1"/>
    <col min="13060" max="13061" width="15.77734375" customWidth="1"/>
    <col min="13062" max="13062" width="21.21875" customWidth="1"/>
    <col min="13063" max="13092" width="3.21875" customWidth="1"/>
    <col min="13093" max="13093" width="7.77734375" bestFit="1" customWidth="1"/>
    <col min="13314" max="13314" width="4.5546875" customWidth="1"/>
    <col min="13315" max="13315" width="10.77734375" customWidth="1"/>
    <col min="13316" max="13317" width="15.77734375" customWidth="1"/>
    <col min="13318" max="13318" width="21.21875" customWidth="1"/>
    <col min="13319" max="13348" width="3.21875" customWidth="1"/>
    <col min="13349" max="13349" width="7.77734375" bestFit="1" customWidth="1"/>
    <col min="13570" max="13570" width="4.5546875" customWidth="1"/>
    <col min="13571" max="13571" width="10.77734375" customWidth="1"/>
    <col min="13572" max="13573" width="15.77734375" customWidth="1"/>
    <col min="13574" max="13574" width="21.21875" customWidth="1"/>
    <col min="13575" max="13604" width="3.21875" customWidth="1"/>
    <col min="13605" max="13605" width="7.77734375" bestFit="1" customWidth="1"/>
    <col min="13826" max="13826" width="4.5546875" customWidth="1"/>
    <col min="13827" max="13827" width="10.77734375" customWidth="1"/>
    <col min="13828" max="13829" width="15.77734375" customWidth="1"/>
    <col min="13830" max="13830" width="21.21875" customWidth="1"/>
    <col min="13831" max="13860" width="3.21875" customWidth="1"/>
    <col min="13861" max="13861" width="7.77734375" bestFit="1" customWidth="1"/>
    <col min="14082" max="14082" width="4.5546875" customWidth="1"/>
    <col min="14083" max="14083" width="10.77734375" customWidth="1"/>
    <col min="14084" max="14085" width="15.77734375" customWidth="1"/>
    <col min="14086" max="14086" width="21.21875" customWidth="1"/>
    <col min="14087" max="14116" width="3.21875" customWidth="1"/>
    <col min="14117" max="14117" width="7.77734375" bestFit="1" customWidth="1"/>
    <col min="14338" max="14338" width="4.5546875" customWidth="1"/>
    <col min="14339" max="14339" width="10.77734375" customWidth="1"/>
    <col min="14340" max="14341" width="15.77734375" customWidth="1"/>
    <col min="14342" max="14342" width="21.21875" customWidth="1"/>
    <col min="14343" max="14372" width="3.21875" customWidth="1"/>
    <col min="14373" max="14373" width="7.77734375" bestFit="1" customWidth="1"/>
    <col min="14594" max="14594" width="4.5546875" customWidth="1"/>
    <col min="14595" max="14595" width="10.77734375" customWidth="1"/>
    <col min="14596" max="14597" width="15.77734375" customWidth="1"/>
    <col min="14598" max="14598" width="21.21875" customWidth="1"/>
    <col min="14599" max="14628" width="3.21875" customWidth="1"/>
    <col min="14629" max="14629" width="7.77734375" bestFit="1" customWidth="1"/>
    <col min="14850" max="14850" width="4.5546875" customWidth="1"/>
    <col min="14851" max="14851" width="10.77734375" customWidth="1"/>
    <col min="14852" max="14853" width="15.77734375" customWidth="1"/>
    <col min="14854" max="14854" width="21.21875" customWidth="1"/>
    <col min="14855" max="14884" width="3.21875" customWidth="1"/>
    <col min="14885" max="14885" width="7.77734375" bestFit="1" customWidth="1"/>
    <col min="15106" max="15106" width="4.5546875" customWidth="1"/>
    <col min="15107" max="15107" width="10.77734375" customWidth="1"/>
    <col min="15108" max="15109" width="15.77734375" customWidth="1"/>
    <col min="15110" max="15110" width="21.21875" customWidth="1"/>
    <col min="15111" max="15140" width="3.21875" customWidth="1"/>
    <col min="15141" max="15141" width="7.77734375" bestFit="1" customWidth="1"/>
    <col min="15362" max="15362" width="4.5546875" customWidth="1"/>
    <col min="15363" max="15363" width="10.77734375" customWidth="1"/>
    <col min="15364" max="15365" width="15.77734375" customWidth="1"/>
    <col min="15366" max="15366" width="21.21875" customWidth="1"/>
    <col min="15367" max="15396" width="3.21875" customWidth="1"/>
    <col min="15397" max="15397" width="7.77734375" bestFit="1" customWidth="1"/>
    <col min="15618" max="15618" width="4.5546875" customWidth="1"/>
    <col min="15619" max="15619" width="10.77734375" customWidth="1"/>
    <col min="15620" max="15621" width="15.77734375" customWidth="1"/>
    <col min="15622" max="15622" width="21.21875" customWidth="1"/>
    <col min="15623" max="15652" width="3.21875" customWidth="1"/>
    <col min="15653" max="15653" width="7.77734375" bestFit="1" customWidth="1"/>
    <col min="15874" max="15874" width="4.5546875" customWidth="1"/>
    <col min="15875" max="15875" width="10.77734375" customWidth="1"/>
    <col min="15876" max="15877" width="15.77734375" customWidth="1"/>
    <col min="15878" max="15878" width="21.21875" customWidth="1"/>
    <col min="15879" max="15908" width="3.21875" customWidth="1"/>
    <col min="15909" max="15909" width="7.77734375" bestFit="1" customWidth="1"/>
    <col min="16130" max="16130" width="4.5546875" customWidth="1"/>
    <col min="16131" max="16131" width="10.77734375" customWidth="1"/>
    <col min="16132" max="16133" width="15.77734375" customWidth="1"/>
    <col min="16134" max="16134" width="21.21875" customWidth="1"/>
    <col min="16135" max="16164" width="3.21875" customWidth="1"/>
    <col min="16165" max="16165" width="7.77734375" bestFit="1" customWidth="1"/>
  </cols>
  <sheetData>
    <row r="1" spans="1:38" ht="23.4" x14ac:dyDescent="0.45">
      <c r="A1" s="188" t="s">
        <v>29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8"/>
      <c r="AI1" s="188"/>
      <c r="AJ1" s="188"/>
      <c r="AK1" s="188"/>
    </row>
    <row r="2" spans="1:38" ht="21" x14ac:dyDescent="0.4">
      <c r="A2" s="189" t="s">
        <v>30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</row>
    <row r="3" spans="1:38" ht="21.6" thickBot="1" x14ac:dyDescent="0.45">
      <c r="A3" s="189" t="s">
        <v>31</v>
      </c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89"/>
      <c r="AF3" s="189"/>
      <c r="AG3" s="189"/>
      <c r="AH3" s="189"/>
      <c r="AI3" s="189"/>
      <c r="AJ3" s="189"/>
      <c r="AK3" s="189"/>
    </row>
    <row r="4" spans="1:38" ht="15" thickBot="1" x14ac:dyDescent="0.35">
      <c r="A4" s="190" t="s">
        <v>32</v>
      </c>
      <c r="B4" s="191"/>
      <c r="C4" s="191"/>
      <c r="D4" s="191"/>
      <c r="E4" s="191"/>
      <c r="F4" s="191"/>
      <c r="G4" s="191"/>
      <c r="H4" s="191"/>
      <c r="I4" s="191"/>
      <c r="J4" s="191"/>
      <c r="K4" s="192"/>
      <c r="M4" s="190" t="s">
        <v>33</v>
      </c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2"/>
    </row>
    <row r="5" spans="1:38" x14ac:dyDescent="0.3">
      <c r="A5" s="193" t="s">
        <v>35</v>
      </c>
      <c r="B5" s="194"/>
      <c r="C5" s="194"/>
      <c r="D5" s="194"/>
      <c r="E5" s="194"/>
      <c r="F5" s="194"/>
      <c r="G5" s="194"/>
      <c r="H5" s="194"/>
      <c r="I5" s="194"/>
      <c r="J5" s="194"/>
      <c r="K5" s="195"/>
      <c r="M5" s="193" t="s">
        <v>35</v>
      </c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94"/>
      <c r="AF5" s="194"/>
      <c r="AG5" s="194"/>
      <c r="AH5" s="194"/>
      <c r="AI5" s="194"/>
      <c r="AJ5" s="194"/>
      <c r="AK5" s="195"/>
    </row>
    <row r="6" spans="1:38" x14ac:dyDescent="0.3">
      <c r="A6" s="196"/>
      <c r="B6" s="197"/>
      <c r="C6" s="197"/>
      <c r="D6" s="197"/>
      <c r="E6" s="197"/>
      <c r="F6" s="197"/>
      <c r="G6" s="197"/>
      <c r="H6" s="197"/>
      <c r="I6" s="197"/>
      <c r="J6" s="197"/>
      <c r="K6" s="198"/>
      <c r="M6" s="196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8"/>
    </row>
    <row r="7" spans="1:38" x14ac:dyDescent="0.3">
      <c r="A7" s="196"/>
      <c r="B7" s="197"/>
      <c r="C7" s="197"/>
      <c r="D7" s="197"/>
      <c r="E7" s="197"/>
      <c r="F7" s="197"/>
      <c r="G7" s="197"/>
      <c r="H7" s="197"/>
      <c r="I7" s="197"/>
      <c r="J7" s="197"/>
      <c r="K7" s="198"/>
      <c r="M7" s="196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8"/>
    </row>
    <row r="8" spans="1:38" ht="15" thickBot="1" x14ac:dyDescent="0.35">
      <c r="A8" s="199"/>
      <c r="B8" s="200"/>
      <c r="C8" s="200"/>
      <c r="D8" s="200"/>
      <c r="E8" s="200"/>
      <c r="F8" s="200"/>
      <c r="G8" s="200"/>
      <c r="H8" s="200"/>
      <c r="I8" s="200"/>
      <c r="J8" s="200"/>
      <c r="K8" s="201"/>
      <c r="M8" s="199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0"/>
      <c r="AJ8" s="200"/>
      <c r="AK8" s="201"/>
    </row>
    <row r="9" spans="1:38" ht="31.2" x14ac:dyDescent="0.6">
      <c r="A9" s="184" t="s">
        <v>148</v>
      </c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/>
      <c r="AF9" s="184"/>
      <c r="AG9" s="184"/>
      <c r="AH9" s="184"/>
      <c r="AI9" s="184"/>
      <c r="AJ9" s="184"/>
      <c r="AK9" s="184"/>
    </row>
    <row r="10" spans="1:38" ht="43.2" x14ac:dyDescent="0.3">
      <c r="A10" s="27" t="s">
        <v>102</v>
      </c>
      <c r="B10" s="27" t="s">
        <v>103</v>
      </c>
      <c r="C10" s="27" t="s">
        <v>39</v>
      </c>
      <c r="D10" s="27" t="s">
        <v>104</v>
      </c>
      <c r="E10" s="27" t="s">
        <v>41</v>
      </c>
      <c r="F10" s="28">
        <v>1</v>
      </c>
      <c r="G10" s="28">
        <v>2</v>
      </c>
      <c r="H10" s="29">
        <v>3</v>
      </c>
      <c r="I10" s="28">
        <v>4</v>
      </c>
      <c r="J10" s="28">
        <v>5</v>
      </c>
      <c r="K10" s="28">
        <v>6</v>
      </c>
      <c r="L10" s="28">
        <v>7</v>
      </c>
      <c r="M10" s="28">
        <v>8</v>
      </c>
      <c r="N10" s="28">
        <v>9</v>
      </c>
      <c r="O10" s="29">
        <v>10</v>
      </c>
      <c r="P10" s="28">
        <v>11</v>
      </c>
      <c r="Q10" s="28">
        <v>12</v>
      </c>
      <c r="R10" s="28">
        <v>13</v>
      </c>
      <c r="S10" s="28">
        <v>14</v>
      </c>
      <c r="T10" s="28">
        <v>15</v>
      </c>
      <c r="U10" s="28">
        <v>16</v>
      </c>
      <c r="V10" s="29">
        <v>17</v>
      </c>
      <c r="W10" s="28">
        <v>18</v>
      </c>
      <c r="X10" s="28">
        <v>19</v>
      </c>
      <c r="Y10" s="28">
        <v>20</v>
      </c>
      <c r="Z10" s="28">
        <v>21</v>
      </c>
      <c r="AA10" s="28">
        <v>22</v>
      </c>
      <c r="AB10" s="28">
        <v>23</v>
      </c>
      <c r="AC10" s="29">
        <v>24</v>
      </c>
      <c r="AD10" s="28">
        <v>25</v>
      </c>
      <c r="AE10" s="28">
        <v>26</v>
      </c>
      <c r="AF10" s="28">
        <v>27</v>
      </c>
      <c r="AG10" s="28">
        <v>28</v>
      </c>
      <c r="AH10" s="28">
        <v>29</v>
      </c>
      <c r="AI10" s="28">
        <v>30</v>
      </c>
      <c r="AJ10" s="29">
        <v>31</v>
      </c>
      <c r="AK10" s="27" t="s">
        <v>105</v>
      </c>
    </row>
    <row r="11" spans="1:38" x14ac:dyDescent="0.3">
      <c r="A11" s="27">
        <v>1</v>
      </c>
      <c r="B11" s="27">
        <v>2</v>
      </c>
      <c r="C11" s="27">
        <v>3</v>
      </c>
      <c r="D11" s="27">
        <v>4</v>
      </c>
      <c r="E11" s="27">
        <v>5</v>
      </c>
      <c r="F11" s="185">
        <v>6</v>
      </c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7"/>
    </row>
    <row r="12" spans="1:38" x14ac:dyDescent="0.3">
      <c r="A12" s="27"/>
      <c r="B12" s="27"/>
      <c r="C12" s="27"/>
      <c r="D12" s="27"/>
      <c r="E12" s="27"/>
      <c r="F12" s="41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3"/>
    </row>
    <row r="13" spans="1:38" ht="55.8" x14ac:dyDescent="0.3">
      <c r="A13" s="28">
        <v>1</v>
      </c>
      <c r="B13" s="7" t="s">
        <v>143</v>
      </c>
      <c r="C13" s="8" t="s">
        <v>156</v>
      </c>
      <c r="D13" s="28"/>
      <c r="E13" s="9">
        <v>44197</v>
      </c>
      <c r="F13" s="34" t="s">
        <v>106</v>
      </c>
      <c r="G13" s="34" t="s">
        <v>106</v>
      </c>
      <c r="H13" s="35"/>
      <c r="I13" s="34" t="s">
        <v>106</v>
      </c>
      <c r="J13" s="34" t="s">
        <v>106</v>
      </c>
      <c r="K13" s="34" t="s">
        <v>106</v>
      </c>
      <c r="L13" s="34" t="s">
        <v>106</v>
      </c>
      <c r="M13" s="34" t="s">
        <v>106</v>
      </c>
      <c r="N13" s="34" t="s">
        <v>106</v>
      </c>
      <c r="O13" s="35"/>
      <c r="P13" s="34" t="s">
        <v>106</v>
      </c>
      <c r="Q13" s="34" t="s">
        <v>106</v>
      </c>
      <c r="R13" s="34" t="s">
        <v>106</v>
      </c>
      <c r="S13" s="34" t="s">
        <v>106</v>
      </c>
      <c r="T13" s="34" t="s">
        <v>106</v>
      </c>
      <c r="U13" s="34" t="s">
        <v>106</v>
      </c>
      <c r="V13" s="35"/>
      <c r="W13" s="34" t="s">
        <v>106</v>
      </c>
      <c r="X13" s="34" t="s">
        <v>106</v>
      </c>
      <c r="Y13" s="34" t="s">
        <v>106</v>
      </c>
      <c r="Z13" s="34" t="s">
        <v>106</v>
      </c>
      <c r="AA13" s="34" t="s">
        <v>106</v>
      </c>
      <c r="AB13" s="34" t="s">
        <v>106</v>
      </c>
      <c r="AC13" s="35"/>
      <c r="AD13" s="34" t="s">
        <v>106</v>
      </c>
      <c r="AE13" s="34" t="s">
        <v>106</v>
      </c>
      <c r="AF13" s="34" t="s">
        <v>106</v>
      </c>
      <c r="AG13" s="34" t="s">
        <v>106</v>
      </c>
      <c r="AH13" s="34" t="s">
        <v>106</v>
      </c>
      <c r="AI13" s="34" t="s">
        <v>106</v>
      </c>
      <c r="AJ13" s="35"/>
      <c r="AK13" s="6">
        <v>31</v>
      </c>
    </row>
    <row r="14" spans="1:38" ht="55.8" x14ac:dyDescent="0.3">
      <c r="A14" s="28">
        <v>2</v>
      </c>
      <c r="B14" s="7" t="s">
        <v>144</v>
      </c>
      <c r="C14" s="8" t="s">
        <v>157</v>
      </c>
      <c r="D14" s="27"/>
      <c r="E14" s="9">
        <v>44197</v>
      </c>
      <c r="F14" s="34" t="s">
        <v>106</v>
      </c>
      <c r="G14" s="34" t="s">
        <v>106</v>
      </c>
      <c r="H14" s="35"/>
      <c r="I14" s="34" t="s">
        <v>106</v>
      </c>
      <c r="J14" s="34" t="s">
        <v>106</v>
      </c>
      <c r="K14" s="34" t="s">
        <v>106</v>
      </c>
      <c r="L14" s="34" t="s">
        <v>106</v>
      </c>
      <c r="M14" s="34" t="s">
        <v>106</v>
      </c>
      <c r="N14" s="34" t="s">
        <v>106</v>
      </c>
      <c r="O14" s="35"/>
      <c r="P14" s="34" t="s">
        <v>106</v>
      </c>
      <c r="Q14" s="34" t="s">
        <v>106</v>
      </c>
      <c r="R14" s="34" t="s">
        <v>106</v>
      </c>
      <c r="S14" s="34" t="s">
        <v>106</v>
      </c>
      <c r="T14" s="34" t="s">
        <v>106</v>
      </c>
      <c r="U14" s="34" t="s">
        <v>106</v>
      </c>
      <c r="V14" s="35"/>
      <c r="W14" s="34" t="s">
        <v>106</v>
      </c>
      <c r="X14" s="34" t="s">
        <v>106</v>
      </c>
      <c r="Y14" s="34" t="s">
        <v>106</v>
      </c>
      <c r="Z14" s="34" t="s">
        <v>106</v>
      </c>
      <c r="AA14" s="34" t="s">
        <v>106</v>
      </c>
      <c r="AB14" s="34" t="s">
        <v>106</v>
      </c>
      <c r="AC14" s="35"/>
      <c r="AD14" s="34" t="s">
        <v>106</v>
      </c>
      <c r="AE14" s="34" t="s">
        <v>106</v>
      </c>
      <c r="AF14" s="34" t="s">
        <v>106</v>
      </c>
      <c r="AG14" s="34" t="s">
        <v>106</v>
      </c>
      <c r="AH14" s="34" t="s">
        <v>106</v>
      </c>
      <c r="AI14" s="34" t="s">
        <v>106</v>
      </c>
      <c r="AJ14" s="35"/>
      <c r="AK14" s="6">
        <v>31</v>
      </c>
    </row>
    <row r="15" spans="1:38" ht="55.8" x14ac:dyDescent="0.3">
      <c r="A15" s="28">
        <v>3</v>
      </c>
      <c r="B15" s="7" t="s">
        <v>145</v>
      </c>
      <c r="C15" s="8" t="s">
        <v>158</v>
      </c>
      <c r="D15" s="27"/>
      <c r="E15" s="9">
        <v>44197</v>
      </c>
      <c r="F15" s="34" t="s">
        <v>106</v>
      </c>
      <c r="G15" s="34" t="s">
        <v>106</v>
      </c>
      <c r="H15" s="35"/>
      <c r="I15" s="34" t="s">
        <v>106</v>
      </c>
      <c r="J15" s="34" t="s">
        <v>106</v>
      </c>
      <c r="K15" s="34" t="s">
        <v>106</v>
      </c>
      <c r="L15" s="34" t="s">
        <v>106</v>
      </c>
      <c r="M15" s="34" t="s">
        <v>106</v>
      </c>
      <c r="N15" s="34" t="s">
        <v>106</v>
      </c>
      <c r="O15" s="35"/>
      <c r="P15" s="34" t="s">
        <v>106</v>
      </c>
      <c r="Q15" s="34" t="s">
        <v>106</v>
      </c>
      <c r="R15" s="34" t="s">
        <v>106</v>
      </c>
      <c r="S15" s="34" t="s">
        <v>106</v>
      </c>
      <c r="T15" s="34" t="s">
        <v>106</v>
      </c>
      <c r="U15" s="34" t="s">
        <v>106</v>
      </c>
      <c r="V15" s="35"/>
      <c r="W15" s="34" t="s">
        <v>106</v>
      </c>
      <c r="X15" s="34" t="s">
        <v>106</v>
      </c>
      <c r="Y15" s="34" t="s">
        <v>106</v>
      </c>
      <c r="Z15" s="34" t="s">
        <v>106</v>
      </c>
      <c r="AA15" s="34" t="s">
        <v>106</v>
      </c>
      <c r="AB15" s="34" t="s">
        <v>106</v>
      </c>
      <c r="AC15" s="35"/>
      <c r="AD15" s="34" t="s">
        <v>106</v>
      </c>
      <c r="AE15" s="34" t="s">
        <v>106</v>
      </c>
      <c r="AF15" s="34" t="s">
        <v>106</v>
      </c>
      <c r="AG15" s="34" t="s">
        <v>106</v>
      </c>
      <c r="AH15" s="34" t="s">
        <v>106</v>
      </c>
      <c r="AI15" s="34" t="s">
        <v>106</v>
      </c>
      <c r="AJ15" s="35"/>
      <c r="AK15" s="6">
        <v>31</v>
      </c>
    </row>
    <row r="16" spans="1:38" ht="57.6" hidden="1" x14ac:dyDescent="0.3">
      <c r="A16" s="28">
        <v>4</v>
      </c>
      <c r="B16" s="7" t="s">
        <v>74</v>
      </c>
      <c r="C16" s="8" t="s">
        <v>159</v>
      </c>
      <c r="D16" s="30"/>
      <c r="E16" s="9">
        <v>44197</v>
      </c>
      <c r="F16" s="152"/>
      <c r="G16" s="34" t="s">
        <v>106</v>
      </c>
      <c r="H16" s="35"/>
      <c r="I16" s="152"/>
      <c r="J16" s="152"/>
      <c r="K16" s="34" t="s">
        <v>106</v>
      </c>
      <c r="L16" s="34" t="s">
        <v>106</v>
      </c>
      <c r="M16" s="152"/>
      <c r="N16" s="34" t="s">
        <v>106</v>
      </c>
      <c r="O16" s="35"/>
      <c r="P16" s="152"/>
      <c r="Q16" s="152"/>
      <c r="R16" s="34" t="s">
        <v>106</v>
      </c>
      <c r="S16" s="34" t="s">
        <v>106</v>
      </c>
      <c r="T16" s="152"/>
      <c r="U16" s="34" t="s">
        <v>106</v>
      </c>
      <c r="V16" s="35"/>
      <c r="W16" s="152"/>
      <c r="X16" s="152"/>
      <c r="Y16" s="34" t="s">
        <v>106</v>
      </c>
      <c r="Z16" s="34" t="s">
        <v>106</v>
      </c>
      <c r="AA16" s="152"/>
      <c r="AB16" s="34" t="s">
        <v>106</v>
      </c>
      <c r="AC16" s="35"/>
      <c r="AD16" s="152"/>
      <c r="AE16" s="152"/>
      <c r="AF16" s="152"/>
      <c r="AG16" s="152"/>
      <c r="AH16" s="152"/>
      <c r="AI16" s="152"/>
      <c r="AJ16" s="35"/>
      <c r="AK16" s="6">
        <v>31</v>
      </c>
      <c r="AL16" s="153" t="s">
        <v>139</v>
      </c>
    </row>
    <row r="17" spans="1:37" ht="55.8" x14ac:dyDescent="0.3">
      <c r="A17" s="28">
        <v>6</v>
      </c>
      <c r="B17" s="7" t="s">
        <v>146</v>
      </c>
      <c r="C17" s="8" t="s">
        <v>160</v>
      </c>
      <c r="D17" s="27"/>
      <c r="E17" s="9">
        <v>44197</v>
      </c>
      <c r="F17" s="34" t="s">
        <v>106</v>
      </c>
      <c r="G17" s="34" t="s">
        <v>106</v>
      </c>
      <c r="H17" s="35"/>
      <c r="I17" s="34" t="s">
        <v>106</v>
      </c>
      <c r="J17" s="34" t="s">
        <v>106</v>
      </c>
      <c r="K17" s="34" t="s">
        <v>106</v>
      </c>
      <c r="L17" s="34" t="s">
        <v>106</v>
      </c>
      <c r="M17" s="34" t="s">
        <v>106</v>
      </c>
      <c r="N17" s="34" t="s">
        <v>106</v>
      </c>
      <c r="O17" s="35"/>
      <c r="P17" s="34" t="s">
        <v>106</v>
      </c>
      <c r="Q17" s="34" t="s">
        <v>106</v>
      </c>
      <c r="R17" s="34" t="s">
        <v>106</v>
      </c>
      <c r="S17" s="34" t="s">
        <v>106</v>
      </c>
      <c r="T17" s="34" t="s">
        <v>106</v>
      </c>
      <c r="U17" s="34" t="s">
        <v>106</v>
      </c>
      <c r="V17" s="35"/>
      <c r="W17" s="34" t="s">
        <v>106</v>
      </c>
      <c r="X17" s="34" t="s">
        <v>106</v>
      </c>
      <c r="Y17" s="34" t="s">
        <v>106</v>
      </c>
      <c r="Z17" s="34" t="s">
        <v>106</v>
      </c>
      <c r="AA17" s="34" t="s">
        <v>106</v>
      </c>
      <c r="AB17" s="34" t="s">
        <v>106</v>
      </c>
      <c r="AC17" s="35"/>
      <c r="AD17" s="34" t="s">
        <v>106</v>
      </c>
      <c r="AE17" s="34" t="s">
        <v>106</v>
      </c>
      <c r="AF17" s="34" t="s">
        <v>106</v>
      </c>
      <c r="AG17" s="34" t="s">
        <v>106</v>
      </c>
      <c r="AH17" s="34" t="s">
        <v>106</v>
      </c>
      <c r="AI17" s="34" t="s">
        <v>106</v>
      </c>
      <c r="AJ17" s="35"/>
      <c r="AK17" s="6">
        <v>31</v>
      </c>
    </row>
    <row r="18" spans="1:37" ht="55.8" hidden="1" x14ac:dyDescent="0.3">
      <c r="A18" s="28">
        <v>7</v>
      </c>
      <c r="B18" s="7" t="s">
        <v>107</v>
      </c>
      <c r="C18" s="8" t="s">
        <v>161</v>
      </c>
      <c r="D18" s="27"/>
      <c r="E18" s="9">
        <v>44197</v>
      </c>
      <c r="F18" s="34"/>
      <c r="G18" s="34"/>
      <c r="H18" s="35"/>
      <c r="I18" s="34"/>
      <c r="J18" s="34"/>
      <c r="K18" s="34"/>
      <c r="L18" s="34"/>
      <c r="M18" s="34"/>
      <c r="N18" s="34"/>
      <c r="O18" s="35"/>
      <c r="P18" s="34"/>
      <c r="Q18" s="34"/>
      <c r="R18" s="34"/>
      <c r="S18" s="34"/>
      <c r="T18" s="34"/>
      <c r="U18" s="34"/>
      <c r="V18" s="35"/>
      <c r="W18" s="34"/>
      <c r="X18" s="34"/>
      <c r="Y18" s="34"/>
      <c r="Z18" s="34"/>
      <c r="AA18" s="34"/>
      <c r="AB18" s="34"/>
      <c r="AC18" s="35"/>
      <c r="AD18" s="34"/>
      <c r="AE18" s="34"/>
      <c r="AF18" s="34"/>
      <c r="AG18" s="34"/>
      <c r="AH18" s="34"/>
      <c r="AI18" s="34"/>
      <c r="AJ18" s="35"/>
      <c r="AK18" s="6">
        <v>31</v>
      </c>
    </row>
    <row r="19" spans="1:37" ht="56.4" x14ac:dyDescent="0.3">
      <c r="A19" s="28">
        <v>9</v>
      </c>
      <c r="B19" s="7" t="s">
        <v>117</v>
      </c>
      <c r="C19" s="8" t="s">
        <v>162</v>
      </c>
      <c r="D19" s="27"/>
      <c r="E19" s="9">
        <v>44964</v>
      </c>
      <c r="F19" s="34" t="s">
        <v>106</v>
      </c>
      <c r="G19" s="34" t="s">
        <v>106</v>
      </c>
      <c r="H19" s="35"/>
      <c r="I19" s="34" t="s">
        <v>106</v>
      </c>
      <c r="J19" s="34" t="s">
        <v>106</v>
      </c>
      <c r="K19" s="34" t="s">
        <v>106</v>
      </c>
      <c r="L19" s="34" t="s">
        <v>106</v>
      </c>
      <c r="M19" s="34" t="s">
        <v>106</v>
      </c>
      <c r="N19" s="34" t="s">
        <v>106</v>
      </c>
      <c r="O19" s="35"/>
      <c r="P19" s="34" t="s">
        <v>106</v>
      </c>
      <c r="Q19" s="34" t="s">
        <v>106</v>
      </c>
      <c r="R19" s="34" t="s">
        <v>106</v>
      </c>
      <c r="S19" s="34" t="s">
        <v>106</v>
      </c>
      <c r="T19" s="34" t="s">
        <v>106</v>
      </c>
      <c r="U19" s="34" t="s">
        <v>106</v>
      </c>
      <c r="V19" s="35"/>
      <c r="W19" s="34" t="s">
        <v>106</v>
      </c>
      <c r="X19" s="34" t="s">
        <v>106</v>
      </c>
      <c r="Y19" s="34" t="s">
        <v>106</v>
      </c>
      <c r="Z19" s="34" t="s">
        <v>106</v>
      </c>
      <c r="AA19" s="34" t="s">
        <v>106</v>
      </c>
      <c r="AB19" s="34" t="s">
        <v>106</v>
      </c>
      <c r="AC19" s="35"/>
      <c r="AD19" s="34" t="s">
        <v>106</v>
      </c>
      <c r="AE19" s="34" t="s">
        <v>106</v>
      </c>
      <c r="AF19" s="34" t="s">
        <v>106</v>
      </c>
      <c r="AG19" s="34" t="s">
        <v>106</v>
      </c>
      <c r="AH19" s="34" t="s">
        <v>106</v>
      </c>
      <c r="AI19" s="34" t="s">
        <v>106</v>
      </c>
      <c r="AJ19" s="35"/>
      <c r="AK19" s="6">
        <v>31</v>
      </c>
    </row>
    <row r="20" spans="1:37" ht="56.4" hidden="1" x14ac:dyDescent="0.3">
      <c r="A20" s="28">
        <v>10</v>
      </c>
      <c r="B20" s="7" t="s">
        <v>119</v>
      </c>
      <c r="C20" s="8" t="s">
        <v>163</v>
      </c>
      <c r="D20" s="27"/>
      <c r="E20" s="9">
        <v>45078</v>
      </c>
      <c r="F20" s="34"/>
      <c r="G20" s="34"/>
      <c r="H20" s="35"/>
      <c r="I20" s="34"/>
      <c r="J20" s="34"/>
      <c r="K20" s="34"/>
      <c r="L20" s="34"/>
      <c r="M20" s="34"/>
      <c r="N20" s="34"/>
      <c r="O20" s="35"/>
      <c r="P20" s="34"/>
      <c r="Q20" s="34"/>
      <c r="R20" s="34"/>
      <c r="S20" s="34"/>
      <c r="T20" s="34"/>
      <c r="U20" s="34"/>
      <c r="V20" s="35"/>
      <c r="W20" s="34"/>
      <c r="X20" s="34"/>
      <c r="Y20" s="34"/>
      <c r="Z20" s="34"/>
      <c r="AA20" s="34"/>
      <c r="AB20" s="34"/>
      <c r="AC20" s="35"/>
      <c r="AD20" s="34"/>
      <c r="AE20" s="34"/>
      <c r="AF20" s="34"/>
      <c r="AG20" s="34"/>
      <c r="AH20" s="34"/>
      <c r="AI20" s="34"/>
      <c r="AJ20" s="35"/>
      <c r="AK20" s="6">
        <v>31</v>
      </c>
    </row>
    <row r="21" spans="1:37" ht="56.4" x14ac:dyDescent="0.3">
      <c r="A21" s="28">
        <v>11</v>
      </c>
      <c r="B21" s="7" t="s">
        <v>120</v>
      </c>
      <c r="C21" s="8" t="s">
        <v>164</v>
      </c>
      <c r="D21" s="27"/>
      <c r="E21" s="9">
        <v>45170</v>
      </c>
      <c r="F21" s="34" t="s">
        <v>106</v>
      </c>
      <c r="G21" s="34" t="s">
        <v>106</v>
      </c>
      <c r="H21" s="35"/>
      <c r="I21" s="34" t="s">
        <v>106</v>
      </c>
      <c r="J21" s="34" t="s">
        <v>106</v>
      </c>
      <c r="K21" s="34" t="s">
        <v>106</v>
      </c>
      <c r="L21" s="34" t="s">
        <v>106</v>
      </c>
      <c r="M21" s="34" t="s">
        <v>106</v>
      </c>
      <c r="N21" s="34" t="s">
        <v>106</v>
      </c>
      <c r="O21" s="35"/>
      <c r="P21" s="34" t="s">
        <v>106</v>
      </c>
      <c r="Q21" s="34" t="s">
        <v>106</v>
      </c>
      <c r="R21" s="34" t="s">
        <v>106</v>
      </c>
      <c r="S21" s="34" t="s">
        <v>106</v>
      </c>
      <c r="T21" s="34" t="s">
        <v>106</v>
      </c>
      <c r="U21" s="34" t="s">
        <v>106</v>
      </c>
      <c r="V21" s="35"/>
      <c r="W21" s="34" t="s">
        <v>106</v>
      </c>
      <c r="X21" s="34" t="s">
        <v>106</v>
      </c>
      <c r="Y21" s="34" t="s">
        <v>106</v>
      </c>
      <c r="Z21" s="34" t="s">
        <v>106</v>
      </c>
      <c r="AA21" s="34" t="s">
        <v>106</v>
      </c>
      <c r="AB21" s="34" t="s">
        <v>106</v>
      </c>
      <c r="AC21" s="35"/>
      <c r="AD21" s="34" t="s">
        <v>106</v>
      </c>
      <c r="AE21" s="34" t="s">
        <v>106</v>
      </c>
      <c r="AF21" s="34" t="s">
        <v>106</v>
      </c>
      <c r="AG21" s="34" t="s">
        <v>106</v>
      </c>
      <c r="AH21" s="34" t="s">
        <v>106</v>
      </c>
      <c r="AI21" s="34" t="s">
        <v>106</v>
      </c>
      <c r="AJ21" s="35"/>
      <c r="AK21" s="6">
        <v>31</v>
      </c>
    </row>
    <row r="22" spans="1:37" ht="56.4" hidden="1" x14ac:dyDescent="0.3">
      <c r="A22" s="122">
        <v>12</v>
      </c>
      <c r="B22" s="123" t="s">
        <v>125</v>
      </c>
      <c r="C22" s="8" t="s">
        <v>165</v>
      </c>
      <c r="D22" s="27"/>
      <c r="E22" s="9">
        <v>45236</v>
      </c>
      <c r="F22" s="34"/>
      <c r="G22" s="34"/>
      <c r="H22" s="35"/>
      <c r="I22" s="34"/>
      <c r="J22" s="34"/>
      <c r="K22" s="34"/>
      <c r="L22" s="34"/>
      <c r="M22" s="34"/>
      <c r="N22" s="34"/>
      <c r="O22" s="35"/>
      <c r="P22" s="34"/>
      <c r="Q22" s="34"/>
      <c r="R22" s="34"/>
      <c r="S22" s="34"/>
      <c r="T22" s="34"/>
      <c r="U22" s="34"/>
      <c r="V22" s="35"/>
      <c r="W22" s="34"/>
      <c r="X22" s="34"/>
      <c r="Y22" s="34"/>
      <c r="Z22" s="34"/>
      <c r="AA22" s="34"/>
      <c r="AB22" s="34"/>
      <c r="AC22" s="35"/>
      <c r="AD22" s="34"/>
      <c r="AE22" s="34"/>
      <c r="AF22" s="34"/>
      <c r="AG22" s="34"/>
      <c r="AH22" s="34"/>
      <c r="AI22" s="34"/>
      <c r="AJ22" s="35"/>
      <c r="AK22" s="6">
        <v>31</v>
      </c>
    </row>
    <row r="23" spans="1:37" ht="55.8" x14ac:dyDescent="0.3">
      <c r="A23" s="28">
        <v>13</v>
      </c>
      <c r="B23" s="7" t="s">
        <v>129</v>
      </c>
      <c r="C23" s="8" t="s">
        <v>166</v>
      </c>
      <c r="D23" s="27"/>
      <c r="E23" s="9">
        <v>45384</v>
      </c>
      <c r="F23" s="34" t="s">
        <v>106</v>
      </c>
      <c r="G23" s="34" t="s">
        <v>106</v>
      </c>
      <c r="H23" s="35"/>
      <c r="I23" s="34" t="s">
        <v>106</v>
      </c>
      <c r="J23" s="34" t="s">
        <v>106</v>
      </c>
      <c r="K23" s="34" t="s">
        <v>106</v>
      </c>
      <c r="L23" s="34" t="s">
        <v>106</v>
      </c>
      <c r="M23" s="34" t="s">
        <v>106</v>
      </c>
      <c r="N23" s="34" t="s">
        <v>106</v>
      </c>
      <c r="O23" s="35"/>
      <c r="P23" s="34" t="s">
        <v>106</v>
      </c>
      <c r="Q23" s="34" t="s">
        <v>106</v>
      </c>
      <c r="R23" s="34" t="s">
        <v>106</v>
      </c>
      <c r="S23" s="34" t="s">
        <v>106</v>
      </c>
      <c r="T23" s="34" t="s">
        <v>106</v>
      </c>
      <c r="U23" s="34" t="s">
        <v>106</v>
      </c>
      <c r="V23" s="35"/>
      <c r="W23" s="34" t="s">
        <v>106</v>
      </c>
      <c r="X23" s="34" t="s">
        <v>106</v>
      </c>
      <c r="Y23" s="34" t="s">
        <v>106</v>
      </c>
      <c r="Z23" s="34" t="s">
        <v>106</v>
      </c>
      <c r="AA23" s="34" t="s">
        <v>106</v>
      </c>
      <c r="AB23" s="34" t="s">
        <v>106</v>
      </c>
      <c r="AC23" s="35"/>
      <c r="AD23" s="34" t="s">
        <v>106</v>
      </c>
      <c r="AE23" s="34" t="s">
        <v>106</v>
      </c>
      <c r="AF23" s="34" t="s">
        <v>106</v>
      </c>
      <c r="AG23" s="34" t="s">
        <v>106</v>
      </c>
      <c r="AH23" s="34" t="s">
        <v>106</v>
      </c>
      <c r="AI23" s="34" t="s">
        <v>106</v>
      </c>
      <c r="AJ23" s="35"/>
      <c r="AK23" s="6">
        <v>31</v>
      </c>
    </row>
    <row r="24" spans="1:37" ht="55.8" hidden="1" x14ac:dyDescent="0.3">
      <c r="A24" s="28">
        <v>14</v>
      </c>
      <c r="B24" s="7" t="s">
        <v>132</v>
      </c>
      <c r="C24" s="8" t="s">
        <v>167</v>
      </c>
      <c r="D24" s="27" t="s">
        <v>138</v>
      </c>
      <c r="E24" s="9">
        <f>'Employee Salary Working Details'!H26</f>
        <v>45663</v>
      </c>
      <c r="F24" s="34"/>
      <c r="G24" s="34"/>
      <c r="H24" s="35"/>
      <c r="I24" s="34"/>
      <c r="J24" s="34"/>
      <c r="K24" s="34"/>
      <c r="L24" s="34"/>
      <c r="M24" s="34"/>
      <c r="N24" s="34"/>
      <c r="O24" s="35"/>
      <c r="P24" s="34"/>
      <c r="Q24" s="34"/>
      <c r="R24" s="34"/>
      <c r="S24" s="34"/>
      <c r="T24" s="34"/>
      <c r="U24" s="34"/>
      <c r="V24" s="35"/>
      <c r="W24" s="34"/>
      <c r="X24" s="34"/>
      <c r="Y24" s="34"/>
      <c r="Z24" s="34"/>
      <c r="AA24" s="34"/>
      <c r="AB24" s="34"/>
      <c r="AC24" s="35"/>
      <c r="AD24" s="34"/>
      <c r="AE24" s="34"/>
      <c r="AF24" s="34"/>
      <c r="AG24" s="34"/>
      <c r="AH24" s="34"/>
      <c r="AI24" s="34"/>
      <c r="AJ24" s="35"/>
      <c r="AK24" s="6">
        <v>31</v>
      </c>
    </row>
    <row r="25" spans="1:37" ht="55.8" x14ac:dyDescent="0.3">
      <c r="A25" s="28">
        <v>15</v>
      </c>
      <c r="B25" s="7" t="s">
        <v>133</v>
      </c>
      <c r="C25" s="8" t="s">
        <v>168</v>
      </c>
      <c r="D25" s="27"/>
      <c r="E25" s="9">
        <f>'Employee Salary Working Details'!H27</f>
        <v>45677</v>
      </c>
      <c r="F25" s="34" t="s">
        <v>106</v>
      </c>
      <c r="G25" s="34" t="s">
        <v>106</v>
      </c>
      <c r="H25" s="35"/>
      <c r="I25" s="34" t="s">
        <v>106</v>
      </c>
      <c r="J25" s="34" t="s">
        <v>106</v>
      </c>
      <c r="K25" s="34" t="s">
        <v>106</v>
      </c>
      <c r="L25" s="34" t="s">
        <v>106</v>
      </c>
      <c r="M25" s="34" t="s">
        <v>106</v>
      </c>
      <c r="N25" s="34" t="s">
        <v>106</v>
      </c>
      <c r="O25" s="35"/>
      <c r="P25" s="34" t="s">
        <v>106</v>
      </c>
      <c r="Q25" s="34" t="s">
        <v>106</v>
      </c>
      <c r="R25" s="34" t="s">
        <v>106</v>
      </c>
      <c r="S25" s="34" t="s">
        <v>106</v>
      </c>
      <c r="T25" s="34" t="s">
        <v>106</v>
      </c>
      <c r="U25" s="34" t="s">
        <v>106</v>
      </c>
      <c r="V25" s="35"/>
      <c r="W25" s="34" t="s">
        <v>106</v>
      </c>
      <c r="X25" s="34" t="s">
        <v>106</v>
      </c>
      <c r="Y25" s="34" t="s">
        <v>106</v>
      </c>
      <c r="Z25" s="34" t="s">
        <v>106</v>
      </c>
      <c r="AA25" s="34" t="s">
        <v>106</v>
      </c>
      <c r="AB25" s="34" t="s">
        <v>106</v>
      </c>
      <c r="AC25" s="35"/>
      <c r="AD25" s="34" t="s">
        <v>106</v>
      </c>
      <c r="AE25" s="34" t="s">
        <v>106</v>
      </c>
      <c r="AF25" s="34" t="s">
        <v>106</v>
      </c>
      <c r="AG25" s="34" t="s">
        <v>106</v>
      </c>
      <c r="AH25" s="34" t="s">
        <v>106</v>
      </c>
      <c r="AI25" s="34" t="s">
        <v>106</v>
      </c>
      <c r="AJ25" s="35"/>
      <c r="AK25" s="6">
        <v>31</v>
      </c>
    </row>
    <row r="26" spans="1:37" ht="55.8" x14ac:dyDescent="0.3">
      <c r="A26" s="28">
        <v>16</v>
      </c>
      <c r="B26" s="7" t="s">
        <v>134</v>
      </c>
      <c r="C26" s="8" t="s">
        <v>169</v>
      </c>
      <c r="D26" s="27"/>
      <c r="E26" s="9">
        <f>'Employee Salary Working Details'!H28</f>
        <v>45761</v>
      </c>
      <c r="F26" s="34" t="s">
        <v>106</v>
      </c>
      <c r="G26" s="34" t="s">
        <v>106</v>
      </c>
      <c r="H26" s="35"/>
      <c r="I26" s="34" t="s">
        <v>106</v>
      </c>
      <c r="J26" s="34" t="s">
        <v>106</v>
      </c>
      <c r="K26" s="34" t="s">
        <v>106</v>
      </c>
      <c r="L26" s="34" t="s">
        <v>106</v>
      </c>
      <c r="M26" s="34" t="s">
        <v>106</v>
      </c>
      <c r="N26" s="34" t="s">
        <v>106</v>
      </c>
      <c r="O26" s="35"/>
      <c r="P26" s="34" t="s">
        <v>106</v>
      </c>
      <c r="Q26" s="34" t="s">
        <v>106</v>
      </c>
      <c r="R26" s="34" t="s">
        <v>106</v>
      </c>
      <c r="S26" s="34" t="s">
        <v>106</v>
      </c>
      <c r="T26" s="34" t="s">
        <v>106</v>
      </c>
      <c r="U26" s="34" t="s">
        <v>106</v>
      </c>
      <c r="V26" s="35"/>
      <c r="W26" s="34" t="s">
        <v>106</v>
      </c>
      <c r="X26" s="34" t="s">
        <v>106</v>
      </c>
      <c r="Y26" s="34" t="s">
        <v>106</v>
      </c>
      <c r="Z26" s="34" t="s">
        <v>106</v>
      </c>
      <c r="AA26" s="34" t="s">
        <v>106</v>
      </c>
      <c r="AB26" s="34" t="s">
        <v>106</v>
      </c>
      <c r="AC26" s="35"/>
      <c r="AD26" s="34" t="s">
        <v>106</v>
      </c>
      <c r="AE26" s="34" t="s">
        <v>106</v>
      </c>
      <c r="AF26" s="34" t="s">
        <v>106</v>
      </c>
      <c r="AG26" s="34" t="s">
        <v>106</v>
      </c>
      <c r="AH26" s="34" t="s">
        <v>106</v>
      </c>
      <c r="AI26" s="34" t="s">
        <v>106</v>
      </c>
      <c r="AJ26" s="35"/>
      <c r="AK26" s="6">
        <v>31</v>
      </c>
    </row>
    <row r="27" spans="1:37" ht="55.8" x14ac:dyDescent="0.3">
      <c r="A27" s="28">
        <v>17</v>
      </c>
      <c r="B27" s="7" t="s">
        <v>135</v>
      </c>
      <c r="C27" s="8" t="s">
        <v>170</v>
      </c>
      <c r="D27" s="27"/>
      <c r="E27" s="9">
        <f>'Employee Salary Working Details'!H29</f>
        <v>45814</v>
      </c>
      <c r="F27" s="34" t="s">
        <v>106</v>
      </c>
      <c r="G27" s="34" t="s">
        <v>106</v>
      </c>
      <c r="H27" s="35"/>
      <c r="I27" s="34" t="s">
        <v>106</v>
      </c>
      <c r="J27" s="34" t="s">
        <v>106</v>
      </c>
      <c r="K27" s="34" t="s">
        <v>106</v>
      </c>
      <c r="L27" s="34" t="s">
        <v>106</v>
      </c>
      <c r="M27" s="34" t="s">
        <v>106</v>
      </c>
      <c r="N27" s="34" t="s">
        <v>106</v>
      </c>
      <c r="O27" s="35"/>
      <c r="P27" s="34" t="s">
        <v>106</v>
      </c>
      <c r="Q27" s="34" t="s">
        <v>106</v>
      </c>
      <c r="R27" s="34" t="s">
        <v>106</v>
      </c>
      <c r="S27" s="34" t="s">
        <v>106</v>
      </c>
      <c r="T27" s="34" t="s">
        <v>106</v>
      </c>
      <c r="U27" s="34" t="s">
        <v>106</v>
      </c>
      <c r="V27" s="35"/>
      <c r="W27" s="34" t="s">
        <v>106</v>
      </c>
      <c r="X27" s="34" t="s">
        <v>106</v>
      </c>
      <c r="Y27" s="34" t="s">
        <v>106</v>
      </c>
      <c r="Z27" s="34" t="s">
        <v>106</v>
      </c>
      <c r="AA27" s="34" t="s">
        <v>106</v>
      </c>
      <c r="AB27" s="34" t="s">
        <v>106</v>
      </c>
      <c r="AC27" s="35"/>
      <c r="AD27" s="34" t="s">
        <v>106</v>
      </c>
      <c r="AE27" s="34" t="s">
        <v>106</v>
      </c>
      <c r="AF27" s="34" t="s">
        <v>106</v>
      </c>
      <c r="AG27" s="34" t="s">
        <v>106</v>
      </c>
      <c r="AH27" s="34" t="s">
        <v>106</v>
      </c>
      <c r="AI27" s="34" t="s">
        <v>106</v>
      </c>
      <c r="AJ27" s="35"/>
      <c r="AK27" s="6">
        <v>31</v>
      </c>
    </row>
    <row r="28" spans="1:37" ht="55.8" x14ac:dyDescent="0.3">
      <c r="A28" s="28">
        <v>18</v>
      </c>
      <c r="B28" s="7" t="s">
        <v>137</v>
      </c>
      <c r="C28" s="8" t="s">
        <v>171</v>
      </c>
      <c r="D28" s="27"/>
      <c r="E28" s="9">
        <v>45971</v>
      </c>
      <c r="F28" s="34" t="s">
        <v>106</v>
      </c>
      <c r="G28" s="34" t="s">
        <v>106</v>
      </c>
      <c r="H28" s="35"/>
      <c r="I28" s="34" t="s">
        <v>106</v>
      </c>
      <c r="J28" s="34" t="s">
        <v>106</v>
      </c>
      <c r="K28" s="34" t="s">
        <v>106</v>
      </c>
      <c r="L28" s="34" t="s">
        <v>106</v>
      </c>
      <c r="M28" s="34" t="s">
        <v>106</v>
      </c>
      <c r="N28" s="34" t="s">
        <v>106</v>
      </c>
      <c r="O28" s="35"/>
      <c r="P28" s="34" t="s">
        <v>106</v>
      </c>
      <c r="Q28" s="34" t="s">
        <v>106</v>
      </c>
      <c r="R28" s="34" t="s">
        <v>106</v>
      </c>
      <c r="S28" s="34" t="s">
        <v>106</v>
      </c>
      <c r="T28" s="34" t="s">
        <v>106</v>
      </c>
      <c r="U28" s="34" t="s">
        <v>106</v>
      </c>
      <c r="V28" s="35"/>
      <c r="W28" s="34" t="s">
        <v>106</v>
      </c>
      <c r="X28" s="34" t="s">
        <v>106</v>
      </c>
      <c r="Y28" s="34" t="s">
        <v>106</v>
      </c>
      <c r="Z28" s="34" t="s">
        <v>106</v>
      </c>
      <c r="AA28" s="34" t="s">
        <v>106</v>
      </c>
      <c r="AB28" s="34" t="s">
        <v>106</v>
      </c>
      <c r="AC28" s="35"/>
      <c r="AD28" s="34" t="s">
        <v>106</v>
      </c>
      <c r="AE28" s="34" t="s">
        <v>106</v>
      </c>
      <c r="AF28" s="34" t="s">
        <v>106</v>
      </c>
      <c r="AG28" s="34" t="s">
        <v>106</v>
      </c>
      <c r="AH28" s="34" t="s">
        <v>106</v>
      </c>
      <c r="AI28" s="34" t="s">
        <v>106</v>
      </c>
      <c r="AJ28" s="35"/>
      <c r="AK28" s="6">
        <v>31</v>
      </c>
    </row>
    <row r="29" spans="1:37" ht="55.8" x14ac:dyDescent="0.3">
      <c r="A29" s="28">
        <v>19</v>
      </c>
      <c r="B29" s="7" t="s">
        <v>141</v>
      </c>
      <c r="C29" s="8" t="s">
        <v>172</v>
      </c>
      <c r="D29" s="27"/>
      <c r="E29" s="9">
        <v>46093</v>
      </c>
      <c r="F29" s="34" t="s">
        <v>106</v>
      </c>
      <c r="G29" s="34" t="s">
        <v>106</v>
      </c>
      <c r="H29" s="35"/>
      <c r="I29" s="34" t="s">
        <v>106</v>
      </c>
      <c r="J29" s="34" t="s">
        <v>106</v>
      </c>
      <c r="K29" s="34" t="s">
        <v>106</v>
      </c>
      <c r="L29" s="34" t="s">
        <v>106</v>
      </c>
      <c r="M29" s="34" t="s">
        <v>106</v>
      </c>
      <c r="N29" s="34" t="s">
        <v>106</v>
      </c>
      <c r="O29" s="35"/>
      <c r="P29" s="34" t="s">
        <v>106</v>
      </c>
      <c r="Q29" s="34" t="s">
        <v>106</v>
      </c>
      <c r="R29" s="34" t="s">
        <v>106</v>
      </c>
      <c r="S29" s="34" t="s">
        <v>106</v>
      </c>
      <c r="T29" s="34" t="s">
        <v>106</v>
      </c>
      <c r="U29" s="34" t="s">
        <v>106</v>
      </c>
      <c r="V29" s="35"/>
      <c r="W29" s="34" t="s">
        <v>106</v>
      </c>
      <c r="X29" s="34" t="s">
        <v>106</v>
      </c>
      <c r="Y29" s="34" t="s">
        <v>106</v>
      </c>
      <c r="Z29" s="34" t="s">
        <v>106</v>
      </c>
      <c r="AA29" s="34" t="s">
        <v>106</v>
      </c>
      <c r="AB29" s="34" t="s">
        <v>106</v>
      </c>
      <c r="AC29" s="35"/>
      <c r="AD29" s="34" t="s">
        <v>106</v>
      </c>
      <c r="AE29" s="34" t="s">
        <v>106</v>
      </c>
      <c r="AF29" s="34" t="s">
        <v>106</v>
      </c>
      <c r="AG29" s="34" t="s">
        <v>106</v>
      </c>
      <c r="AH29" s="34" t="s">
        <v>106</v>
      </c>
      <c r="AI29" s="34" t="s">
        <v>106</v>
      </c>
      <c r="AJ29" s="35"/>
      <c r="AK29" s="6">
        <v>31</v>
      </c>
    </row>
    <row r="30" spans="1:37" ht="55.8" x14ac:dyDescent="0.3">
      <c r="A30" s="28">
        <v>20</v>
      </c>
      <c r="B30" s="7" t="s">
        <v>142</v>
      </c>
      <c r="C30" s="8" t="s">
        <v>173</v>
      </c>
      <c r="D30" s="27"/>
      <c r="E30" s="9">
        <v>46125</v>
      </c>
      <c r="F30" s="34" t="s">
        <v>106</v>
      </c>
      <c r="G30" s="34" t="s">
        <v>106</v>
      </c>
      <c r="H30" s="35"/>
      <c r="I30" s="154" t="s">
        <v>150</v>
      </c>
      <c r="J30" s="154" t="s">
        <v>151</v>
      </c>
      <c r="K30" s="154" t="s">
        <v>150</v>
      </c>
      <c r="L30" s="154" t="s">
        <v>151</v>
      </c>
      <c r="M30" s="155" t="s">
        <v>154</v>
      </c>
      <c r="N30" s="34" t="s">
        <v>106</v>
      </c>
      <c r="O30" s="35"/>
      <c r="P30" s="34" t="s">
        <v>106</v>
      </c>
      <c r="Q30" s="34" t="s">
        <v>106</v>
      </c>
      <c r="R30" s="34" t="s">
        <v>106</v>
      </c>
      <c r="S30" s="34" t="s">
        <v>106</v>
      </c>
      <c r="T30" s="34" t="s">
        <v>106</v>
      </c>
      <c r="U30" s="34" t="s">
        <v>106</v>
      </c>
      <c r="V30" s="35"/>
      <c r="W30" s="34" t="s">
        <v>106</v>
      </c>
      <c r="X30" s="34" t="s">
        <v>106</v>
      </c>
      <c r="Y30" s="34" t="s">
        <v>106</v>
      </c>
      <c r="Z30" s="34" t="s">
        <v>106</v>
      </c>
      <c r="AA30" s="34" t="s">
        <v>106</v>
      </c>
      <c r="AB30" s="34" t="s">
        <v>106</v>
      </c>
      <c r="AC30" s="35"/>
      <c r="AD30" s="34" t="s">
        <v>106</v>
      </c>
      <c r="AE30" s="34" t="s">
        <v>106</v>
      </c>
      <c r="AF30" s="34" t="s">
        <v>106</v>
      </c>
      <c r="AG30" s="34" t="s">
        <v>106</v>
      </c>
      <c r="AH30" s="34" t="s">
        <v>106</v>
      </c>
      <c r="AI30" s="34" t="s">
        <v>106</v>
      </c>
      <c r="AJ30" s="35"/>
      <c r="AK30" s="6">
        <v>30</v>
      </c>
    </row>
    <row r="31" spans="1:37" x14ac:dyDescent="0.3">
      <c r="B31" s="135"/>
      <c r="C31" s="136"/>
      <c r="D31" s="137"/>
      <c r="E31" s="138"/>
      <c r="F31" s="139"/>
      <c r="G31" s="139"/>
      <c r="H31" s="139"/>
      <c r="I31" s="139"/>
      <c r="J31" s="139"/>
      <c r="K31" s="139"/>
      <c r="L31" s="139"/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2"/>
    </row>
    <row r="32" spans="1:37" x14ac:dyDescent="0.3">
      <c r="C32" s="31" t="s">
        <v>130</v>
      </c>
      <c r="D32" s="32"/>
      <c r="E32" s="33"/>
    </row>
    <row r="34" spans="3:3" x14ac:dyDescent="0.3">
      <c r="C34" s="136" t="s">
        <v>152</v>
      </c>
    </row>
    <row r="35" spans="3:3" x14ac:dyDescent="0.3">
      <c r="C35" s="136" t="s">
        <v>153</v>
      </c>
    </row>
    <row r="36" spans="3:3" x14ac:dyDescent="0.3">
      <c r="C36" s="136" t="s">
        <v>155</v>
      </c>
    </row>
  </sheetData>
  <protectedRanges>
    <protectedRange sqref="E15" name="Range4_2_1"/>
  </protectedRanges>
  <mergeCells count="9">
    <mergeCell ref="A9:AK9"/>
    <mergeCell ref="F11:AK11"/>
    <mergeCell ref="A1:AK1"/>
    <mergeCell ref="A2:AK2"/>
    <mergeCell ref="A3:AK3"/>
    <mergeCell ref="A4:K4"/>
    <mergeCell ref="M4:AK4"/>
    <mergeCell ref="A5:K8"/>
    <mergeCell ref="M5:AK8"/>
  </mergeCells>
  <phoneticPr fontId="2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G29"/>
  <sheetViews>
    <sheetView view="pageBreakPreview" topLeftCell="A6" zoomScale="130" zoomScaleNormal="90" zoomScaleSheetLayoutView="130" workbookViewId="0">
      <selection activeCell="C26" sqref="C26"/>
    </sheetView>
  </sheetViews>
  <sheetFormatPr defaultColWidth="9.21875" defaultRowHeight="18" x14ac:dyDescent="0.35"/>
  <cols>
    <col min="1" max="1" width="9.21875" style="1"/>
    <col min="2" max="2" width="27.44140625" style="58" customWidth="1"/>
    <col min="3" max="3" width="32.5546875" style="58" customWidth="1"/>
    <col min="4" max="4" width="25" style="58" customWidth="1"/>
    <col min="5" max="5" width="34" style="67" customWidth="1"/>
    <col min="6" max="6" width="13.44140625" style="1" bestFit="1" customWidth="1"/>
    <col min="7" max="7" width="12" style="1" bestFit="1" customWidth="1"/>
    <col min="8" max="16384" width="9.21875" style="1"/>
  </cols>
  <sheetData>
    <row r="3" spans="2:7" ht="11.55" customHeight="1" x14ac:dyDescent="0.35">
      <c r="B3" s="68"/>
      <c r="C3" s="69"/>
      <c r="D3" s="69"/>
      <c r="E3" s="70"/>
    </row>
    <row r="4" spans="2:7" ht="28.8" x14ac:dyDescent="0.55000000000000004">
      <c r="B4" s="202" t="s">
        <v>0</v>
      </c>
      <c r="C4" s="203"/>
      <c r="D4" s="203"/>
      <c r="E4" s="71"/>
    </row>
    <row r="5" spans="2:7" x14ac:dyDescent="0.35">
      <c r="B5" s="86"/>
      <c r="E5" s="87"/>
    </row>
    <row r="6" spans="2:7" s="25" customFormat="1" x14ac:dyDescent="0.35">
      <c r="B6" s="57"/>
      <c r="C6" s="97" t="s">
        <v>126</v>
      </c>
      <c r="D6" s="98">
        <f>'Employee Salary Working Details'!$AJ$5</f>
        <v>46143</v>
      </c>
      <c r="E6" s="99"/>
    </row>
    <row r="7" spans="2:7" s="19" customFormat="1" ht="15" x14ac:dyDescent="0.25">
      <c r="B7" s="105"/>
      <c r="C7" s="106"/>
      <c r="D7" s="106"/>
      <c r="E7" s="107"/>
    </row>
    <row r="8" spans="2:7" s="19" customFormat="1" ht="15" x14ac:dyDescent="0.25">
      <c r="B8" s="88" t="s">
        <v>2</v>
      </c>
      <c r="C8" s="88" t="s">
        <v>1</v>
      </c>
      <c r="D8" s="88" t="s">
        <v>4</v>
      </c>
      <c r="E8" s="88" t="s">
        <v>3</v>
      </c>
    </row>
    <row r="9" spans="2:7" s="21" customFormat="1" ht="15" x14ac:dyDescent="0.3">
      <c r="B9" s="75" t="s">
        <v>7</v>
      </c>
      <c r="C9" s="59" t="s">
        <v>28</v>
      </c>
      <c r="D9" s="60" t="s">
        <v>127</v>
      </c>
      <c r="E9" s="76" t="s">
        <v>92</v>
      </c>
      <c r="F9" s="20"/>
      <c r="G9" s="20"/>
    </row>
    <row r="10" spans="2:7" s="21" customFormat="1" ht="21" customHeight="1" x14ac:dyDescent="0.3">
      <c r="B10" s="83" t="s">
        <v>11</v>
      </c>
      <c r="C10" s="100">
        <v>101649598092</v>
      </c>
      <c r="D10" s="89" t="s">
        <v>128</v>
      </c>
      <c r="E10" s="76" t="s">
        <v>121</v>
      </c>
    </row>
    <row r="11" spans="2:7" s="21" customFormat="1" ht="16.5" customHeight="1" x14ac:dyDescent="0.3">
      <c r="B11" s="103"/>
      <c r="C11" s="65"/>
      <c r="D11" s="65"/>
      <c r="E11" s="104"/>
    </row>
    <row r="12" spans="2:7" s="21" customFormat="1" ht="14.55" customHeight="1" x14ac:dyDescent="0.3">
      <c r="B12" s="101" t="s">
        <v>5</v>
      </c>
      <c r="C12" s="101" t="s">
        <v>76</v>
      </c>
      <c r="D12" s="66" t="s">
        <v>9</v>
      </c>
      <c r="E12" s="102">
        <v>43040</v>
      </c>
    </row>
    <row r="13" spans="2:7" s="21" customFormat="1" ht="14.55" customHeight="1" x14ac:dyDescent="0.3">
      <c r="B13" s="77" t="s">
        <v>6</v>
      </c>
      <c r="C13" s="60" t="str">
        <f>'Employee Salary Working Details'!C18</f>
        <v>Emp 6</v>
      </c>
      <c r="D13" s="59" t="s">
        <v>8</v>
      </c>
      <c r="E13" s="60" t="s">
        <v>122</v>
      </c>
    </row>
    <row r="14" spans="2:7" s="21" customFormat="1" ht="14.55" customHeight="1" x14ac:dyDescent="0.3">
      <c r="B14" s="62" t="s">
        <v>27</v>
      </c>
      <c r="C14" s="61">
        <v>749224733822</v>
      </c>
      <c r="D14" s="60" t="s">
        <v>94</v>
      </c>
      <c r="E14" s="78" t="s">
        <v>123</v>
      </c>
    </row>
    <row r="15" spans="2:7" s="21" customFormat="1" ht="14.55" customHeight="1" x14ac:dyDescent="0.3">
      <c r="B15" s="89"/>
      <c r="C15" s="90"/>
      <c r="D15" s="63" t="s">
        <v>10</v>
      </c>
      <c r="E15" s="63">
        <f>'Employee Salary Working Details'!I18</f>
        <v>31</v>
      </c>
    </row>
    <row r="16" spans="2:7" s="21" customFormat="1" ht="15" x14ac:dyDescent="0.3">
      <c r="B16" s="91"/>
      <c r="C16" s="84"/>
      <c r="D16" s="84"/>
      <c r="E16" s="85"/>
    </row>
    <row r="17" spans="2:6" s="21" customFormat="1" ht="15" x14ac:dyDescent="0.3">
      <c r="B17" s="92"/>
      <c r="C17" s="64"/>
      <c r="D17" s="64"/>
      <c r="E17" s="93"/>
    </row>
    <row r="18" spans="2:6" s="21" customFormat="1" ht="15" x14ac:dyDescent="0.3">
      <c r="B18" s="94" t="s">
        <v>12</v>
      </c>
      <c r="C18" s="95" t="s">
        <v>13</v>
      </c>
      <c r="D18" s="95" t="s">
        <v>14</v>
      </c>
      <c r="E18" s="96" t="s">
        <v>13</v>
      </c>
    </row>
    <row r="19" spans="2:6" s="21" customFormat="1" ht="15" x14ac:dyDescent="0.3">
      <c r="B19" s="77" t="s">
        <v>15</v>
      </c>
      <c r="C19" s="79">
        <f>'Employee Salary Working Details'!O18</f>
        <v>10000</v>
      </c>
      <c r="D19" s="62" t="s">
        <v>19</v>
      </c>
      <c r="E19" s="80">
        <f>'Employee Salary Working Details'!V18</f>
        <v>1200</v>
      </c>
    </row>
    <row r="20" spans="2:6" s="21" customFormat="1" ht="15" x14ac:dyDescent="0.3">
      <c r="B20" s="77" t="s">
        <v>16</v>
      </c>
      <c r="C20" s="79">
        <f>'Employee Salary Working Details'!P18</f>
        <v>6250</v>
      </c>
      <c r="D20" s="62" t="s">
        <v>20</v>
      </c>
      <c r="E20" s="80">
        <f>'Employee Salary Working Details'!W18</f>
        <v>0</v>
      </c>
    </row>
    <row r="21" spans="2:6" s="21" customFormat="1" ht="15" x14ac:dyDescent="0.3">
      <c r="B21" s="77" t="s">
        <v>18</v>
      </c>
      <c r="C21" s="81">
        <f>'Employee Salary Working Details'!Q18</f>
        <v>3775</v>
      </c>
      <c r="D21" s="59" t="s">
        <v>21</v>
      </c>
      <c r="E21" s="117">
        <v>200</v>
      </c>
    </row>
    <row r="22" spans="2:6" s="21" customFormat="1" ht="14.25" customHeight="1" x14ac:dyDescent="0.3">
      <c r="B22" s="75" t="s">
        <v>17</v>
      </c>
      <c r="C22" s="81">
        <f>'Employee Salary Working Details'!R18</f>
        <v>2500</v>
      </c>
      <c r="D22" s="59" t="s">
        <v>22</v>
      </c>
      <c r="E22" s="81">
        <f>'Employee Salary Working Details'!AA18</f>
        <v>0</v>
      </c>
    </row>
    <row r="23" spans="2:6" s="21" customFormat="1" ht="15" x14ac:dyDescent="0.3">
      <c r="B23" s="75"/>
      <c r="C23" s="80"/>
      <c r="D23" s="82"/>
      <c r="E23" s="80"/>
      <c r="F23" s="22"/>
    </row>
    <row r="24" spans="2:6" s="24" customFormat="1" ht="14.25" customHeight="1" x14ac:dyDescent="0.3">
      <c r="B24" s="75" t="s">
        <v>23</v>
      </c>
      <c r="C24" s="81">
        <f>SUM(C19:C23)</f>
        <v>22525</v>
      </c>
      <c r="D24" s="82" t="s">
        <v>24</v>
      </c>
      <c r="E24" s="60">
        <f>SUM(E19:E23)</f>
        <v>1400</v>
      </c>
      <c r="F24" s="23"/>
    </row>
    <row r="25" spans="2:6" s="24" customFormat="1" ht="15" x14ac:dyDescent="0.3">
      <c r="B25" s="83"/>
      <c r="C25" s="121"/>
      <c r="D25" s="63"/>
      <c r="E25" s="63"/>
      <c r="F25" s="23"/>
    </row>
    <row r="26" spans="2:6" s="24" customFormat="1" ht="30" x14ac:dyDescent="0.3">
      <c r="B26" s="83" t="s">
        <v>25</v>
      </c>
      <c r="C26" s="81">
        <f>ROUNDUP(C24-E24,0)</f>
        <v>21125</v>
      </c>
      <c r="D26" s="63" t="s">
        <v>26</v>
      </c>
      <c r="E26" s="63" t="str">
        <f>SpellNumber(C26)</f>
        <v xml:space="preserve">Rupees TwentyOne Thousand One Hundred TwentyFive Only </v>
      </c>
      <c r="F26" s="23"/>
    </row>
    <row r="27" spans="2:6" s="24" customFormat="1" ht="14.25" customHeight="1" x14ac:dyDescent="0.35">
      <c r="B27" s="68"/>
      <c r="C27" s="69"/>
      <c r="D27" s="69"/>
      <c r="E27" s="70"/>
      <c r="F27" s="23"/>
    </row>
    <row r="28" spans="2:6" s="24" customFormat="1" x14ac:dyDescent="0.35">
      <c r="B28" s="86"/>
      <c r="C28" s="58"/>
      <c r="D28" s="58"/>
      <c r="E28" s="87"/>
      <c r="F28" s="23"/>
    </row>
    <row r="29" spans="2:6" x14ac:dyDescent="0.35">
      <c r="B29" s="72" t="s">
        <v>95</v>
      </c>
      <c r="C29" s="73"/>
      <c r="D29" s="73"/>
      <c r="E29" s="74"/>
    </row>
  </sheetData>
  <mergeCells count="1">
    <mergeCell ref="B4:D4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9" orientation="landscape" r:id="rId1"/>
  <rowBreaks count="1" manualBreakCount="1">
    <brk id="2" min="1" max="4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42"/>
  <sheetViews>
    <sheetView workbookViewId="0">
      <selection activeCell="H23" sqref="H23"/>
    </sheetView>
  </sheetViews>
  <sheetFormatPr defaultRowHeight="13.2" x14ac:dyDescent="0.3"/>
  <cols>
    <col min="1" max="1" width="8.44140625" style="2" customWidth="1"/>
    <col min="2" max="2" width="12.77734375" style="2" customWidth="1"/>
    <col min="3" max="3" width="25.21875" style="2" customWidth="1"/>
    <col min="4" max="4" width="14.5546875" style="2" customWidth="1"/>
    <col min="5" max="5" width="11.21875" style="2" customWidth="1"/>
    <col min="6" max="6" width="16.21875" style="2" customWidth="1"/>
    <col min="7" max="7" width="17.44140625" style="134" customWidth="1"/>
    <col min="8" max="9" width="17.21875" style="2" customWidth="1"/>
    <col min="10" max="10" width="14.5546875" style="2" customWidth="1"/>
    <col min="11" max="11" width="14.5546875" style="134" customWidth="1"/>
    <col min="12" max="12" width="9.21875" style="134"/>
    <col min="13" max="13" width="12.21875" style="134" customWidth="1"/>
    <col min="14" max="14" width="13.77734375" style="134" customWidth="1"/>
    <col min="15" max="219" width="9.21875" style="2"/>
    <col min="220" max="220" width="8.44140625" style="2" customWidth="1"/>
    <col min="221" max="221" width="12.77734375" style="2" customWidth="1"/>
    <col min="222" max="222" width="15" style="2" bestFit="1" customWidth="1"/>
    <col min="223" max="223" width="7.21875" style="2" customWidth="1"/>
    <col min="224" max="224" width="10.21875" style="2" customWidth="1"/>
    <col min="225" max="225" width="5" style="2" bestFit="1" customWidth="1"/>
    <col min="226" max="226" width="8.77734375" style="2" customWidth="1"/>
    <col min="227" max="227" width="10.5546875" style="2" customWidth="1"/>
    <col min="228" max="228" width="8.77734375" style="2" customWidth="1"/>
    <col min="229" max="230" width="10.21875" style="2" customWidth="1"/>
    <col min="231" max="231" width="10.77734375" style="2" bestFit="1" customWidth="1"/>
    <col min="232" max="232" width="9.21875" style="2"/>
    <col min="233" max="234" width="8.77734375" style="2" customWidth="1"/>
    <col min="235" max="235" width="10.21875" style="2" bestFit="1" customWidth="1"/>
    <col min="236" max="236" width="14" style="2" customWidth="1"/>
    <col min="237" max="237" width="16.77734375" style="2" bestFit="1" customWidth="1"/>
    <col min="238" max="238" width="8" style="2" bestFit="1" customWidth="1"/>
    <col min="239" max="239" width="9" style="2" bestFit="1" customWidth="1"/>
    <col min="240" max="240" width="6.21875" style="2" customWidth="1"/>
    <col min="241" max="241" width="6.77734375" style="2" customWidth="1"/>
    <col min="242" max="242" width="8" style="2" customWidth="1"/>
    <col min="243" max="243" width="6" style="2" customWidth="1"/>
    <col min="244" max="244" width="7.5546875" style="2" customWidth="1"/>
    <col min="245" max="245" width="9.21875" style="2"/>
    <col min="246" max="246" width="9.21875" style="2" bestFit="1" customWidth="1"/>
    <col min="247" max="247" width="15.77734375" style="2" customWidth="1"/>
    <col min="248" max="249" width="9.77734375" style="2" customWidth="1"/>
    <col min="250" max="255" width="9.21875" style="2"/>
    <col min="256" max="256" width="9.77734375" style="2" bestFit="1" customWidth="1"/>
    <col min="257" max="475" width="9.21875" style="2"/>
    <col min="476" max="476" width="8.44140625" style="2" customWidth="1"/>
    <col min="477" max="477" width="12.77734375" style="2" customWidth="1"/>
    <col min="478" max="478" width="15" style="2" bestFit="1" customWidth="1"/>
    <col min="479" max="479" width="7.21875" style="2" customWidth="1"/>
    <col min="480" max="480" width="10.21875" style="2" customWidth="1"/>
    <col min="481" max="481" width="5" style="2" bestFit="1" customWidth="1"/>
    <col min="482" max="482" width="8.77734375" style="2" customWidth="1"/>
    <col min="483" max="483" width="10.5546875" style="2" customWidth="1"/>
    <col min="484" max="484" width="8.77734375" style="2" customWidth="1"/>
    <col min="485" max="486" width="10.21875" style="2" customWidth="1"/>
    <col min="487" max="487" width="10.77734375" style="2" bestFit="1" customWidth="1"/>
    <col min="488" max="488" width="9.21875" style="2"/>
    <col min="489" max="490" width="8.77734375" style="2" customWidth="1"/>
    <col min="491" max="491" width="10.21875" style="2" bestFit="1" customWidth="1"/>
    <col min="492" max="492" width="14" style="2" customWidth="1"/>
    <col min="493" max="493" width="16.77734375" style="2" bestFit="1" customWidth="1"/>
    <col min="494" max="494" width="8" style="2" bestFit="1" customWidth="1"/>
    <col min="495" max="495" width="9" style="2" bestFit="1" customWidth="1"/>
    <col min="496" max="496" width="6.21875" style="2" customWidth="1"/>
    <col min="497" max="497" width="6.77734375" style="2" customWidth="1"/>
    <col min="498" max="498" width="8" style="2" customWidth="1"/>
    <col min="499" max="499" width="6" style="2" customWidth="1"/>
    <col min="500" max="500" width="7.5546875" style="2" customWidth="1"/>
    <col min="501" max="501" width="9.21875" style="2"/>
    <col min="502" max="502" width="9.21875" style="2" bestFit="1" customWidth="1"/>
    <col min="503" max="503" width="15.77734375" style="2" customWidth="1"/>
    <col min="504" max="505" width="9.77734375" style="2" customWidth="1"/>
    <col min="506" max="511" width="9.21875" style="2"/>
    <col min="512" max="512" width="9.77734375" style="2" bestFit="1" customWidth="1"/>
    <col min="513" max="731" width="9.21875" style="2"/>
    <col min="732" max="732" width="8.44140625" style="2" customWidth="1"/>
    <col min="733" max="733" width="12.77734375" style="2" customWidth="1"/>
    <col min="734" max="734" width="15" style="2" bestFit="1" customWidth="1"/>
    <col min="735" max="735" width="7.21875" style="2" customWidth="1"/>
    <col min="736" max="736" width="10.21875" style="2" customWidth="1"/>
    <col min="737" max="737" width="5" style="2" bestFit="1" customWidth="1"/>
    <col min="738" max="738" width="8.77734375" style="2" customWidth="1"/>
    <col min="739" max="739" width="10.5546875" style="2" customWidth="1"/>
    <col min="740" max="740" width="8.77734375" style="2" customWidth="1"/>
    <col min="741" max="742" width="10.21875" style="2" customWidth="1"/>
    <col min="743" max="743" width="10.77734375" style="2" bestFit="1" customWidth="1"/>
    <col min="744" max="744" width="9.21875" style="2"/>
    <col min="745" max="746" width="8.77734375" style="2" customWidth="1"/>
    <col min="747" max="747" width="10.21875" style="2" bestFit="1" customWidth="1"/>
    <col min="748" max="748" width="14" style="2" customWidth="1"/>
    <col min="749" max="749" width="16.77734375" style="2" bestFit="1" customWidth="1"/>
    <col min="750" max="750" width="8" style="2" bestFit="1" customWidth="1"/>
    <col min="751" max="751" width="9" style="2" bestFit="1" customWidth="1"/>
    <col min="752" max="752" width="6.21875" style="2" customWidth="1"/>
    <col min="753" max="753" width="6.77734375" style="2" customWidth="1"/>
    <col min="754" max="754" width="8" style="2" customWidth="1"/>
    <col min="755" max="755" width="6" style="2" customWidth="1"/>
    <col min="756" max="756" width="7.5546875" style="2" customWidth="1"/>
    <col min="757" max="757" width="9.21875" style="2"/>
    <col min="758" max="758" width="9.21875" style="2" bestFit="1" customWidth="1"/>
    <col min="759" max="759" width="15.77734375" style="2" customWidth="1"/>
    <col min="760" max="761" width="9.77734375" style="2" customWidth="1"/>
    <col min="762" max="767" width="9.21875" style="2"/>
    <col min="768" max="768" width="9.77734375" style="2" bestFit="1" customWidth="1"/>
    <col min="769" max="987" width="9.21875" style="2"/>
    <col min="988" max="988" width="8.44140625" style="2" customWidth="1"/>
    <col min="989" max="989" width="12.77734375" style="2" customWidth="1"/>
    <col min="990" max="990" width="15" style="2" bestFit="1" customWidth="1"/>
    <col min="991" max="991" width="7.21875" style="2" customWidth="1"/>
    <col min="992" max="992" width="10.21875" style="2" customWidth="1"/>
    <col min="993" max="993" width="5" style="2" bestFit="1" customWidth="1"/>
    <col min="994" max="994" width="8.77734375" style="2" customWidth="1"/>
    <col min="995" max="995" width="10.5546875" style="2" customWidth="1"/>
    <col min="996" max="996" width="8.77734375" style="2" customWidth="1"/>
    <col min="997" max="998" width="10.21875" style="2" customWidth="1"/>
    <col min="999" max="999" width="10.77734375" style="2" bestFit="1" customWidth="1"/>
    <col min="1000" max="1000" width="9.21875" style="2"/>
    <col min="1001" max="1002" width="8.77734375" style="2" customWidth="1"/>
    <col min="1003" max="1003" width="10.21875" style="2" bestFit="1" customWidth="1"/>
    <col min="1004" max="1004" width="14" style="2" customWidth="1"/>
    <col min="1005" max="1005" width="16.77734375" style="2" bestFit="1" customWidth="1"/>
    <col min="1006" max="1006" width="8" style="2" bestFit="1" customWidth="1"/>
    <col min="1007" max="1007" width="9" style="2" bestFit="1" customWidth="1"/>
    <col min="1008" max="1008" width="6.21875" style="2" customWidth="1"/>
    <col min="1009" max="1009" width="6.77734375" style="2" customWidth="1"/>
    <col min="1010" max="1010" width="8" style="2" customWidth="1"/>
    <col min="1011" max="1011" width="6" style="2" customWidth="1"/>
    <col min="1012" max="1012" width="7.5546875" style="2" customWidth="1"/>
    <col min="1013" max="1013" width="9.21875" style="2"/>
    <col min="1014" max="1014" width="9.21875" style="2" bestFit="1" customWidth="1"/>
    <col min="1015" max="1015" width="15.77734375" style="2" customWidth="1"/>
    <col min="1016" max="1017" width="9.77734375" style="2" customWidth="1"/>
    <col min="1018" max="1023" width="9.21875" style="2"/>
    <col min="1024" max="1024" width="9.77734375" style="2" bestFit="1" customWidth="1"/>
    <col min="1025" max="1243" width="9.21875" style="2"/>
    <col min="1244" max="1244" width="8.44140625" style="2" customWidth="1"/>
    <col min="1245" max="1245" width="12.77734375" style="2" customWidth="1"/>
    <col min="1246" max="1246" width="15" style="2" bestFit="1" customWidth="1"/>
    <col min="1247" max="1247" width="7.21875" style="2" customWidth="1"/>
    <col min="1248" max="1248" width="10.21875" style="2" customWidth="1"/>
    <col min="1249" max="1249" width="5" style="2" bestFit="1" customWidth="1"/>
    <col min="1250" max="1250" width="8.77734375" style="2" customWidth="1"/>
    <col min="1251" max="1251" width="10.5546875" style="2" customWidth="1"/>
    <col min="1252" max="1252" width="8.77734375" style="2" customWidth="1"/>
    <col min="1253" max="1254" width="10.21875" style="2" customWidth="1"/>
    <col min="1255" max="1255" width="10.77734375" style="2" bestFit="1" customWidth="1"/>
    <col min="1256" max="1256" width="9.21875" style="2"/>
    <col min="1257" max="1258" width="8.77734375" style="2" customWidth="1"/>
    <col min="1259" max="1259" width="10.21875" style="2" bestFit="1" customWidth="1"/>
    <col min="1260" max="1260" width="14" style="2" customWidth="1"/>
    <col min="1261" max="1261" width="16.77734375" style="2" bestFit="1" customWidth="1"/>
    <col min="1262" max="1262" width="8" style="2" bestFit="1" customWidth="1"/>
    <col min="1263" max="1263" width="9" style="2" bestFit="1" customWidth="1"/>
    <col min="1264" max="1264" width="6.21875" style="2" customWidth="1"/>
    <col min="1265" max="1265" width="6.77734375" style="2" customWidth="1"/>
    <col min="1266" max="1266" width="8" style="2" customWidth="1"/>
    <col min="1267" max="1267" width="6" style="2" customWidth="1"/>
    <col min="1268" max="1268" width="7.5546875" style="2" customWidth="1"/>
    <col min="1269" max="1269" width="9.21875" style="2"/>
    <col min="1270" max="1270" width="9.21875" style="2" bestFit="1" customWidth="1"/>
    <col min="1271" max="1271" width="15.77734375" style="2" customWidth="1"/>
    <col min="1272" max="1273" width="9.77734375" style="2" customWidth="1"/>
    <col min="1274" max="1279" width="9.21875" style="2"/>
    <col min="1280" max="1280" width="9.77734375" style="2" bestFit="1" customWidth="1"/>
    <col min="1281" max="1499" width="9.21875" style="2"/>
    <col min="1500" max="1500" width="8.44140625" style="2" customWidth="1"/>
    <col min="1501" max="1501" width="12.77734375" style="2" customWidth="1"/>
    <col min="1502" max="1502" width="15" style="2" bestFit="1" customWidth="1"/>
    <col min="1503" max="1503" width="7.21875" style="2" customWidth="1"/>
    <col min="1504" max="1504" width="10.21875" style="2" customWidth="1"/>
    <col min="1505" max="1505" width="5" style="2" bestFit="1" customWidth="1"/>
    <col min="1506" max="1506" width="8.77734375" style="2" customWidth="1"/>
    <col min="1507" max="1507" width="10.5546875" style="2" customWidth="1"/>
    <col min="1508" max="1508" width="8.77734375" style="2" customWidth="1"/>
    <col min="1509" max="1510" width="10.21875" style="2" customWidth="1"/>
    <col min="1511" max="1511" width="10.77734375" style="2" bestFit="1" customWidth="1"/>
    <col min="1512" max="1512" width="9.21875" style="2"/>
    <col min="1513" max="1514" width="8.77734375" style="2" customWidth="1"/>
    <col min="1515" max="1515" width="10.21875" style="2" bestFit="1" customWidth="1"/>
    <col min="1516" max="1516" width="14" style="2" customWidth="1"/>
    <col min="1517" max="1517" width="16.77734375" style="2" bestFit="1" customWidth="1"/>
    <col min="1518" max="1518" width="8" style="2" bestFit="1" customWidth="1"/>
    <col min="1519" max="1519" width="9" style="2" bestFit="1" customWidth="1"/>
    <col min="1520" max="1520" width="6.21875" style="2" customWidth="1"/>
    <col min="1521" max="1521" width="6.77734375" style="2" customWidth="1"/>
    <col min="1522" max="1522" width="8" style="2" customWidth="1"/>
    <col min="1523" max="1523" width="6" style="2" customWidth="1"/>
    <col min="1524" max="1524" width="7.5546875" style="2" customWidth="1"/>
    <col min="1525" max="1525" width="9.21875" style="2"/>
    <col min="1526" max="1526" width="9.21875" style="2" bestFit="1" customWidth="1"/>
    <col min="1527" max="1527" width="15.77734375" style="2" customWidth="1"/>
    <col min="1528" max="1529" width="9.77734375" style="2" customWidth="1"/>
    <col min="1530" max="1535" width="9.21875" style="2"/>
    <col min="1536" max="1536" width="9.77734375" style="2" bestFit="1" customWidth="1"/>
    <col min="1537" max="1755" width="9.21875" style="2"/>
    <col min="1756" max="1756" width="8.44140625" style="2" customWidth="1"/>
    <col min="1757" max="1757" width="12.77734375" style="2" customWidth="1"/>
    <col min="1758" max="1758" width="15" style="2" bestFit="1" customWidth="1"/>
    <col min="1759" max="1759" width="7.21875" style="2" customWidth="1"/>
    <col min="1760" max="1760" width="10.21875" style="2" customWidth="1"/>
    <col min="1761" max="1761" width="5" style="2" bestFit="1" customWidth="1"/>
    <col min="1762" max="1762" width="8.77734375" style="2" customWidth="1"/>
    <col min="1763" max="1763" width="10.5546875" style="2" customWidth="1"/>
    <col min="1764" max="1764" width="8.77734375" style="2" customWidth="1"/>
    <col min="1765" max="1766" width="10.21875" style="2" customWidth="1"/>
    <col min="1767" max="1767" width="10.77734375" style="2" bestFit="1" customWidth="1"/>
    <col min="1768" max="1768" width="9.21875" style="2"/>
    <col min="1769" max="1770" width="8.77734375" style="2" customWidth="1"/>
    <col min="1771" max="1771" width="10.21875" style="2" bestFit="1" customWidth="1"/>
    <col min="1772" max="1772" width="14" style="2" customWidth="1"/>
    <col min="1773" max="1773" width="16.77734375" style="2" bestFit="1" customWidth="1"/>
    <col min="1774" max="1774" width="8" style="2" bestFit="1" customWidth="1"/>
    <col min="1775" max="1775" width="9" style="2" bestFit="1" customWidth="1"/>
    <col min="1776" max="1776" width="6.21875" style="2" customWidth="1"/>
    <col min="1777" max="1777" width="6.77734375" style="2" customWidth="1"/>
    <col min="1778" max="1778" width="8" style="2" customWidth="1"/>
    <col min="1779" max="1779" width="6" style="2" customWidth="1"/>
    <col min="1780" max="1780" width="7.5546875" style="2" customWidth="1"/>
    <col min="1781" max="1781" width="9.21875" style="2"/>
    <col min="1782" max="1782" width="9.21875" style="2" bestFit="1" customWidth="1"/>
    <col min="1783" max="1783" width="15.77734375" style="2" customWidth="1"/>
    <col min="1784" max="1785" width="9.77734375" style="2" customWidth="1"/>
    <col min="1786" max="1791" width="9.21875" style="2"/>
    <col min="1792" max="1792" width="9.77734375" style="2" bestFit="1" customWidth="1"/>
    <col min="1793" max="2011" width="9.21875" style="2"/>
    <col min="2012" max="2012" width="8.44140625" style="2" customWidth="1"/>
    <col min="2013" max="2013" width="12.77734375" style="2" customWidth="1"/>
    <col min="2014" max="2014" width="15" style="2" bestFit="1" customWidth="1"/>
    <col min="2015" max="2015" width="7.21875" style="2" customWidth="1"/>
    <col min="2016" max="2016" width="10.21875" style="2" customWidth="1"/>
    <col min="2017" max="2017" width="5" style="2" bestFit="1" customWidth="1"/>
    <col min="2018" max="2018" width="8.77734375" style="2" customWidth="1"/>
    <col min="2019" max="2019" width="10.5546875" style="2" customWidth="1"/>
    <col min="2020" max="2020" width="8.77734375" style="2" customWidth="1"/>
    <col min="2021" max="2022" width="10.21875" style="2" customWidth="1"/>
    <col min="2023" max="2023" width="10.77734375" style="2" bestFit="1" customWidth="1"/>
    <col min="2024" max="2024" width="9.21875" style="2"/>
    <col min="2025" max="2026" width="8.77734375" style="2" customWidth="1"/>
    <col min="2027" max="2027" width="10.21875" style="2" bestFit="1" customWidth="1"/>
    <col min="2028" max="2028" width="14" style="2" customWidth="1"/>
    <col min="2029" max="2029" width="16.77734375" style="2" bestFit="1" customWidth="1"/>
    <col min="2030" max="2030" width="8" style="2" bestFit="1" customWidth="1"/>
    <col min="2031" max="2031" width="9" style="2" bestFit="1" customWidth="1"/>
    <col min="2032" max="2032" width="6.21875" style="2" customWidth="1"/>
    <col min="2033" max="2033" width="6.77734375" style="2" customWidth="1"/>
    <col min="2034" max="2034" width="8" style="2" customWidth="1"/>
    <col min="2035" max="2035" width="6" style="2" customWidth="1"/>
    <col min="2036" max="2036" width="7.5546875" style="2" customWidth="1"/>
    <col min="2037" max="2037" width="9.21875" style="2"/>
    <col min="2038" max="2038" width="9.21875" style="2" bestFit="1" customWidth="1"/>
    <col min="2039" max="2039" width="15.77734375" style="2" customWidth="1"/>
    <col min="2040" max="2041" width="9.77734375" style="2" customWidth="1"/>
    <col min="2042" max="2047" width="9.21875" style="2"/>
    <col min="2048" max="2048" width="9.77734375" style="2" bestFit="1" customWidth="1"/>
    <col min="2049" max="2267" width="9.21875" style="2"/>
    <col min="2268" max="2268" width="8.44140625" style="2" customWidth="1"/>
    <col min="2269" max="2269" width="12.77734375" style="2" customWidth="1"/>
    <col min="2270" max="2270" width="15" style="2" bestFit="1" customWidth="1"/>
    <col min="2271" max="2271" width="7.21875" style="2" customWidth="1"/>
    <col min="2272" max="2272" width="10.21875" style="2" customWidth="1"/>
    <col min="2273" max="2273" width="5" style="2" bestFit="1" customWidth="1"/>
    <col min="2274" max="2274" width="8.77734375" style="2" customWidth="1"/>
    <col min="2275" max="2275" width="10.5546875" style="2" customWidth="1"/>
    <col min="2276" max="2276" width="8.77734375" style="2" customWidth="1"/>
    <col min="2277" max="2278" width="10.21875" style="2" customWidth="1"/>
    <col min="2279" max="2279" width="10.77734375" style="2" bestFit="1" customWidth="1"/>
    <col min="2280" max="2280" width="9.21875" style="2"/>
    <col min="2281" max="2282" width="8.77734375" style="2" customWidth="1"/>
    <col min="2283" max="2283" width="10.21875" style="2" bestFit="1" customWidth="1"/>
    <col min="2284" max="2284" width="14" style="2" customWidth="1"/>
    <col min="2285" max="2285" width="16.77734375" style="2" bestFit="1" customWidth="1"/>
    <col min="2286" max="2286" width="8" style="2" bestFit="1" customWidth="1"/>
    <col min="2287" max="2287" width="9" style="2" bestFit="1" customWidth="1"/>
    <col min="2288" max="2288" width="6.21875" style="2" customWidth="1"/>
    <col min="2289" max="2289" width="6.77734375" style="2" customWidth="1"/>
    <col min="2290" max="2290" width="8" style="2" customWidth="1"/>
    <col min="2291" max="2291" width="6" style="2" customWidth="1"/>
    <col min="2292" max="2292" width="7.5546875" style="2" customWidth="1"/>
    <col min="2293" max="2293" width="9.21875" style="2"/>
    <col min="2294" max="2294" width="9.21875" style="2" bestFit="1" customWidth="1"/>
    <col min="2295" max="2295" width="15.77734375" style="2" customWidth="1"/>
    <col min="2296" max="2297" width="9.77734375" style="2" customWidth="1"/>
    <col min="2298" max="2303" width="9.21875" style="2"/>
    <col min="2304" max="2304" width="9.77734375" style="2" bestFit="1" customWidth="1"/>
    <col min="2305" max="2523" width="9.21875" style="2"/>
    <col min="2524" max="2524" width="8.44140625" style="2" customWidth="1"/>
    <col min="2525" max="2525" width="12.77734375" style="2" customWidth="1"/>
    <col min="2526" max="2526" width="15" style="2" bestFit="1" customWidth="1"/>
    <col min="2527" max="2527" width="7.21875" style="2" customWidth="1"/>
    <col min="2528" max="2528" width="10.21875" style="2" customWidth="1"/>
    <col min="2529" max="2529" width="5" style="2" bestFit="1" customWidth="1"/>
    <col min="2530" max="2530" width="8.77734375" style="2" customWidth="1"/>
    <col min="2531" max="2531" width="10.5546875" style="2" customWidth="1"/>
    <col min="2532" max="2532" width="8.77734375" style="2" customWidth="1"/>
    <col min="2533" max="2534" width="10.21875" style="2" customWidth="1"/>
    <col min="2535" max="2535" width="10.77734375" style="2" bestFit="1" customWidth="1"/>
    <col min="2536" max="2536" width="9.21875" style="2"/>
    <col min="2537" max="2538" width="8.77734375" style="2" customWidth="1"/>
    <col min="2539" max="2539" width="10.21875" style="2" bestFit="1" customWidth="1"/>
    <col min="2540" max="2540" width="14" style="2" customWidth="1"/>
    <col min="2541" max="2541" width="16.77734375" style="2" bestFit="1" customWidth="1"/>
    <col min="2542" max="2542" width="8" style="2" bestFit="1" customWidth="1"/>
    <col min="2543" max="2543" width="9" style="2" bestFit="1" customWidth="1"/>
    <col min="2544" max="2544" width="6.21875" style="2" customWidth="1"/>
    <col min="2545" max="2545" width="6.77734375" style="2" customWidth="1"/>
    <col min="2546" max="2546" width="8" style="2" customWidth="1"/>
    <col min="2547" max="2547" width="6" style="2" customWidth="1"/>
    <col min="2548" max="2548" width="7.5546875" style="2" customWidth="1"/>
    <col min="2549" max="2549" width="9.21875" style="2"/>
    <col min="2550" max="2550" width="9.21875" style="2" bestFit="1" customWidth="1"/>
    <col min="2551" max="2551" width="15.77734375" style="2" customWidth="1"/>
    <col min="2552" max="2553" width="9.77734375" style="2" customWidth="1"/>
    <col min="2554" max="2559" width="9.21875" style="2"/>
    <col min="2560" max="2560" width="9.77734375" style="2" bestFit="1" customWidth="1"/>
    <col min="2561" max="2779" width="9.21875" style="2"/>
    <col min="2780" max="2780" width="8.44140625" style="2" customWidth="1"/>
    <col min="2781" max="2781" width="12.77734375" style="2" customWidth="1"/>
    <col min="2782" max="2782" width="15" style="2" bestFit="1" customWidth="1"/>
    <col min="2783" max="2783" width="7.21875" style="2" customWidth="1"/>
    <col min="2784" max="2784" width="10.21875" style="2" customWidth="1"/>
    <col min="2785" max="2785" width="5" style="2" bestFit="1" customWidth="1"/>
    <col min="2786" max="2786" width="8.77734375" style="2" customWidth="1"/>
    <col min="2787" max="2787" width="10.5546875" style="2" customWidth="1"/>
    <col min="2788" max="2788" width="8.77734375" style="2" customWidth="1"/>
    <col min="2789" max="2790" width="10.21875" style="2" customWidth="1"/>
    <col min="2791" max="2791" width="10.77734375" style="2" bestFit="1" customWidth="1"/>
    <col min="2792" max="2792" width="9.21875" style="2"/>
    <col min="2793" max="2794" width="8.77734375" style="2" customWidth="1"/>
    <col min="2795" max="2795" width="10.21875" style="2" bestFit="1" customWidth="1"/>
    <col min="2796" max="2796" width="14" style="2" customWidth="1"/>
    <col min="2797" max="2797" width="16.77734375" style="2" bestFit="1" customWidth="1"/>
    <col min="2798" max="2798" width="8" style="2" bestFit="1" customWidth="1"/>
    <col min="2799" max="2799" width="9" style="2" bestFit="1" customWidth="1"/>
    <col min="2800" max="2800" width="6.21875" style="2" customWidth="1"/>
    <col min="2801" max="2801" width="6.77734375" style="2" customWidth="1"/>
    <col min="2802" max="2802" width="8" style="2" customWidth="1"/>
    <col min="2803" max="2803" width="6" style="2" customWidth="1"/>
    <col min="2804" max="2804" width="7.5546875" style="2" customWidth="1"/>
    <col min="2805" max="2805" width="9.21875" style="2"/>
    <col min="2806" max="2806" width="9.21875" style="2" bestFit="1" customWidth="1"/>
    <col min="2807" max="2807" width="15.77734375" style="2" customWidth="1"/>
    <col min="2808" max="2809" width="9.77734375" style="2" customWidth="1"/>
    <col min="2810" max="2815" width="9.21875" style="2"/>
    <col min="2816" max="2816" width="9.77734375" style="2" bestFit="1" customWidth="1"/>
    <col min="2817" max="3035" width="9.21875" style="2"/>
    <col min="3036" max="3036" width="8.44140625" style="2" customWidth="1"/>
    <col min="3037" max="3037" width="12.77734375" style="2" customWidth="1"/>
    <col min="3038" max="3038" width="15" style="2" bestFit="1" customWidth="1"/>
    <col min="3039" max="3039" width="7.21875" style="2" customWidth="1"/>
    <col min="3040" max="3040" width="10.21875" style="2" customWidth="1"/>
    <col min="3041" max="3041" width="5" style="2" bestFit="1" customWidth="1"/>
    <col min="3042" max="3042" width="8.77734375" style="2" customWidth="1"/>
    <col min="3043" max="3043" width="10.5546875" style="2" customWidth="1"/>
    <col min="3044" max="3044" width="8.77734375" style="2" customWidth="1"/>
    <col min="3045" max="3046" width="10.21875" style="2" customWidth="1"/>
    <col min="3047" max="3047" width="10.77734375" style="2" bestFit="1" customWidth="1"/>
    <col min="3048" max="3048" width="9.21875" style="2"/>
    <col min="3049" max="3050" width="8.77734375" style="2" customWidth="1"/>
    <col min="3051" max="3051" width="10.21875" style="2" bestFit="1" customWidth="1"/>
    <col min="3052" max="3052" width="14" style="2" customWidth="1"/>
    <col min="3053" max="3053" width="16.77734375" style="2" bestFit="1" customWidth="1"/>
    <col min="3054" max="3054" width="8" style="2" bestFit="1" customWidth="1"/>
    <col min="3055" max="3055" width="9" style="2" bestFit="1" customWidth="1"/>
    <col min="3056" max="3056" width="6.21875" style="2" customWidth="1"/>
    <col min="3057" max="3057" width="6.77734375" style="2" customWidth="1"/>
    <col min="3058" max="3058" width="8" style="2" customWidth="1"/>
    <col min="3059" max="3059" width="6" style="2" customWidth="1"/>
    <col min="3060" max="3060" width="7.5546875" style="2" customWidth="1"/>
    <col min="3061" max="3061" width="9.21875" style="2"/>
    <col min="3062" max="3062" width="9.21875" style="2" bestFit="1" customWidth="1"/>
    <col min="3063" max="3063" width="15.77734375" style="2" customWidth="1"/>
    <col min="3064" max="3065" width="9.77734375" style="2" customWidth="1"/>
    <col min="3066" max="3071" width="9.21875" style="2"/>
    <col min="3072" max="3072" width="9.77734375" style="2" bestFit="1" customWidth="1"/>
    <col min="3073" max="3291" width="9.21875" style="2"/>
    <col min="3292" max="3292" width="8.44140625" style="2" customWidth="1"/>
    <col min="3293" max="3293" width="12.77734375" style="2" customWidth="1"/>
    <col min="3294" max="3294" width="15" style="2" bestFit="1" customWidth="1"/>
    <col min="3295" max="3295" width="7.21875" style="2" customWidth="1"/>
    <col min="3296" max="3296" width="10.21875" style="2" customWidth="1"/>
    <col min="3297" max="3297" width="5" style="2" bestFit="1" customWidth="1"/>
    <col min="3298" max="3298" width="8.77734375" style="2" customWidth="1"/>
    <col min="3299" max="3299" width="10.5546875" style="2" customWidth="1"/>
    <col min="3300" max="3300" width="8.77734375" style="2" customWidth="1"/>
    <col min="3301" max="3302" width="10.21875" style="2" customWidth="1"/>
    <col min="3303" max="3303" width="10.77734375" style="2" bestFit="1" customWidth="1"/>
    <col min="3304" max="3304" width="9.21875" style="2"/>
    <col min="3305" max="3306" width="8.77734375" style="2" customWidth="1"/>
    <col min="3307" max="3307" width="10.21875" style="2" bestFit="1" customWidth="1"/>
    <col min="3308" max="3308" width="14" style="2" customWidth="1"/>
    <col min="3309" max="3309" width="16.77734375" style="2" bestFit="1" customWidth="1"/>
    <col min="3310" max="3310" width="8" style="2" bestFit="1" customWidth="1"/>
    <col min="3311" max="3311" width="9" style="2" bestFit="1" customWidth="1"/>
    <col min="3312" max="3312" width="6.21875" style="2" customWidth="1"/>
    <col min="3313" max="3313" width="6.77734375" style="2" customWidth="1"/>
    <col min="3314" max="3314" width="8" style="2" customWidth="1"/>
    <col min="3315" max="3315" width="6" style="2" customWidth="1"/>
    <col min="3316" max="3316" width="7.5546875" style="2" customWidth="1"/>
    <col min="3317" max="3317" width="9.21875" style="2"/>
    <col min="3318" max="3318" width="9.21875" style="2" bestFit="1" customWidth="1"/>
    <col min="3319" max="3319" width="15.77734375" style="2" customWidth="1"/>
    <col min="3320" max="3321" width="9.77734375" style="2" customWidth="1"/>
    <col min="3322" max="3327" width="9.21875" style="2"/>
    <col min="3328" max="3328" width="9.77734375" style="2" bestFit="1" customWidth="1"/>
    <col min="3329" max="3547" width="9.21875" style="2"/>
    <col min="3548" max="3548" width="8.44140625" style="2" customWidth="1"/>
    <col min="3549" max="3549" width="12.77734375" style="2" customWidth="1"/>
    <col min="3550" max="3550" width="15" style="2" bestFit="1" customWidth="1"/>
    <col min="3551" max="3551" width="7.21875" style="2" customWidth="1"/>
    <col min="3552" max="3552" width="10.21875" style="2" customWidth="1"/>
    <col min="3553" max="3553" width="5" style="2" bestFit="1" customWidth="1"/>
    <col min="3554" max="3554" width="8.77734375" style="2" customWidth="1"/>
    <col min="3555" max="3555" width="10.5546875" style="2" customWidth="1"/>
    <col min="3556" max="3556" width="8.77734375" style="2" customWidth="1"/>
    <col min="3557" max="3558" width="10.21875" style="2" customWidth="1"/>
    <col min="3559" max="3559" width="10.77734375" style="2" bestFit="1" customWidth="1"/>
    <col min="3560" max="3560" width="9.21875" style="2"/>
    <col min="3561" max="3562" width="8.77734375" style="2" customWidth="1"/>
    <col min="3563" max="3563" width="10.21875" style="2" bestFit="1" customWidth="1"/>
    <col min="3564" max="3564" width="14" style="2" customWidth="1"/>
    <col min="3565" max="3565" width="16.77734375" style="2" bestFit="1" customWidth="1"/>
    <col min="3566" max="3566" width="8" style="2" bestFit="1" customWidth="1"/>
    <col min="3567" max="3567" width="9" style="2" bestFit="1" customWidth="1"/>
    <col min="3568" max="3568" width="6.21875" style="2" customWidth="1"/>
    <col min="3569" max="3569" width="6.77734375" style="2" customWidth="1"/>
    <col min="3570" max="3570" width="8" style="2" customWidth="1"/>
    <col min="3571" max="3571" width="6" style="2" customWidth="1"/>
    <col min="3572" max="3572" width="7.5546875" style="2" customWidth="1"/>
    <col min="3573" max="3573" width="9.21875" style="2"/>
    <col min="3574" max="3574" width="9.21875" style="2" bestFit="1" customWidth="1"/>
    <col min="3575" max="3575" width="15.77734375" style="2" customWidth="1"/>
    <col min="3576" max="3577" width="9.77734375" style="2" customWidth="1"/>
    <col min="3578" max="3583" width="9.21875" style="2"/>
    <col min="3584" max="3584" width="9.77734375" style="2" bestFit="1" customWidth="1"/>
    <col min="3585" max="3803" width="9.21875" style="2"/>
    <col min="3804" max="3804" width="8.44140625" style="2" customWidth="1"/>
    <col min="3805" max="3805" width="12.77734375" style="2" customWidth="1"/>
    <col min="3806" max="3806" width="15" style="2" bestFit="1" customWidth="1"/>
    <col min="3807" max="3807" width="7.21875" style="2" customWidth="1"/>
    <col min="3808" max="3808" width="10.21875" style="2" customWidth="1"/>
    <col min="3809" max="3809" width="5" style="2" bestFit="1" customWidth="1"/>
    <col min="3810" max="3810" width="8.77734375" style="2" customWidth="1"/>
    <col min="3811" max="3811" width="10.5546875" style="2" customWidth="1"/>
    <col min="3812" max="3812" width="8.77734375" style="2" customWidth="1"/>
    <col min="3813" max="3814" width="10.21875" style="2" customWidth="1"/>
    <col min="3815" max="3815" width="10.77734375" style="2" bestFit="1" customWidth="1"/>
    <col min="3816" max="3816" width="9.21875" style="2"/>
    <col min="3817" max="3818" width="8.77734375" style="2" customWidth="1"/>
    <col min="3819" max="3819" width="10.21875" style="2" bestFit="1" customWidth="1"/>
    <col min="3820" max="3820" width="14" style="2" customWidth="1"/>
    <col min="3821" max="3821" width="16.77734375" style="2" bestFit="1" customWidth="1"/>
    <col min="3822" max="3822" width="8" style="2" bestFit="1" customWidth="1"/>
    <col min="3823" max="3823" width="9" style="2" bestFit="1" customWidth="1"/>
    <col min="3824" max="3824" width="6.21875" style="2" customWidth="1"/>
    <col min="3825" max="3825" width="6.77734375" style="2" customWidth="1"/>
    <col min="3826" max="3826" width="8" style="2" customWidth="1"/>
    <col min="3827" max="3827" width="6" style="2" customWidth="1"/>
    <col min="3828" max="3828" width="7.5546875" style="2" customWidth="1"/>
    <col min="3829" max="3829" width="9.21875" style="2"/>
    <col min="3830" max="3830" width="9.21875" style="2" bestFit="1" customWidth="1"/>
    <col min="3831" max="3831" width="15.77734375" style="2" customWidth="1"/>
    <col min="3832" max="3833" width="9.77734375" style="2" customWidth="1"/>
    <col min="3834" max="3839" width="9.21875" style="2"/>
    <col min="3840" max="3840" width="9.77734375" style="2" bestFit="1" customWidth="1"/>
    <col min="3841" max="4059" width="9.21875" style="2"/>
    <col min="4060" max="4060" width="8.44140625" style="2" customWidth="1"/>
    <col min="4061" max="4061" width="12.77734375" style="2" customWidth="1"/>
    <col min="4062" max="4062" width="15" style="2" bestFit="1" customWidth="1"/>
    <col min="4063" max="4063" width="7.21875" style="2" customWidth="1"/>
    <col min="4064" max="4064" width="10.21875" style="2" customWidth="1"/>
    <col min="4065" max="4065" width="5" style="2" bestFit="1" customWidth="1"/>
    <col min="4066" max="4066" width="8.77734375" style="2" customWidth="1"/>
    <col min="4067" max="4067" width="10.5546875" style="2" customWidth="1"/>
    <col min="4068" max="4068" width="8.77734375" style="2" customWidth="1"/>
    <col min="4069" max="4070" width="10.21875" style="2" customWidth="1"/>
    <col min="4071" max="4071" width="10.77734375" style="2" bestFit="1" customWidth="1"/>
    <col min="4072" max="4072" width="9.21875" style="2"/>
    <col min="4073" max="4074" width="8.77734375" style="2" customWidth="1"/>
    <col min="4075" max="4075" width="10.21875" style="2" bestFit="1" customWidth="1"/>
    <col min="4076" max="4076" width="14" style="2" customWidth="1"/>
    <col min="4077" max="4077" width="16.77734375" style="2" bestFit="1" customWidth="1"/>
    <col min="4078" max="4078" width="8" style="2" bestFit="1" customWidth="1"/>
    <col min="4079" max="4079" width="9" style="2" bestFit="1" customWidth="1"/>
    <col min="4080" max="4080" width="6.21875" style="2" customWidth="1"/>
    <col min="4081" max="4081" width="6.77734375" style="2" customWidth="1"/>
    <col min="4082" max="4082" width="8" style="2" customWidth="1"/>
    <col min="4083" max="4083" width="6" style="2" customWidth="1"/>
    <col min="4084" max="4084" width="7.5546875" style="2" customWidth="1"/>
    <col min="4085" max="4085" width="9.21875" style="2"/>
    <col min="4086" max="4086" width="9.21875" style="2" bestFit="1" customWidth="1"/>
    <col min="4087" max="4087" width="15.77734375" style="2" customWidth="1"/>
    <col min="4088" max="4089" width="9.77734375" style="2" customWidth="1"/>
    <col min="4090" max="4095" width="9.21875" style="2"/>
    <col min="4096" max="4096" width="9.77734375" style="2" bestFit="1" customWidth="1"/>
    <col min="4097" max="4315" width="9.21875" style="2"/>
    <col min="4316" max="4316" width="8.44140625" style="2" customWidth="1"/>
    <col min="4317" max="4317" width="12.77734375" style="2" customWidth="1"/>
    <col min="4318" max="4318" width="15" style="2" bestFit="1" customWidth="1"/>
    <col min="4319" max="4319" width="7.21875" style="2" customWidth="1"/>
    <col min="4320" max="4320" width="10.21875" style="2" customWidth="1"/>
    <col min="4321" max="4321" width="5" style="2" bestFit="1" customWidth="1"/>
    <col min="4322" max="4322" width="8.77734375" style="2" customWidth="1"/>
    <col min="4323" max="4323" width="10.5546875" style="2" customWidth="1"/>
    <col min="4324" max="4324" width="8.77734375" style="2" customWidth="1"/>
    <col min="4325" max="4326" width="10.21875" style="2" customWidth="1"/>
    <col min="4327" max="4327" width="10.77734375" style="2" bestFit="1" customWidth="1"/>
    <col min="4328" max="4328" width="9.21875" style="2"/>
    <col min="4329" max="4330" width="8.77734375" style="2" customWidth="1"/>
    <col min="4331" max="4331" width="10.21875" style="2" bestFit="1" customWidth="1"/>
    <col min="4332" max="4332" width="14" style="2" customWidth="1"/>
    <col min="4333" max="4333" width="16.77734375" style="2" bestFit="1" customWidth="1"/>
    <col min="4334" max="4334" width="8" style="2" bestFit="1" customWidth="1"/>
    <col min="4335" max="4335" width="9" style="2" bestFit="1" customWidth="1"/>
    <col min="4336" max="4336" width="6.21875" style="2" customWidth="1"/>
    <col min="4337" max="4337" width="6.77734375" style="2" customWidth="1"/>
    <col min="4338" max="4338" width="8" style="2" customWidth="1"/>
    <col min="4339" max="4339" width="6" style="2" customWidth="1"/>
    <col min="4340" max="4340" width="7.5546875" style="2" customWidth="1"/>
    <col min="4341" max="4341" width="9.21875" style="2"/>
    <col min="4342" max="4342" width="9.21875" style="2" bestFit="1" customWidth="1"/>
    <col min="4343" max="4343" width="15.77734375" style="2" customWidth="1"/>
    <col min="4344" max="4345" width="9.77734375" style="2" customWidth="1"/>
    <col min="4346" max="4351" width="9.21875" style="2"/>
    <col min="4352" max="4352" width="9.77734375" style="2" bestFit="1" customWidth="1"/>
    <col min="4353" max="4571" width="9.21875" style="2"/>
    <col min="4572" max="4572" width="8.44140625" style="2" customWidth="1"/>
    <col min="4573" max="4573" width="12.77734375" style="2" customWidth="1"/>
    <col min="4574" max="4574" width="15" style="2" bestFit="1" customWidth="1"/>
    <col min="4575" max="4575" width="7.21875" style="2" customWidth="1"/>
    <col min="4576" max="4576" width="10.21875" style="2" customWidth="1"/>
    <col min="4577" max="4577" width="5" style="2" bestFit="1" customWidth="1"/>
    <col min="4578" max="4578" width="8.77734375" style="2" customWidth="1"/>
    <col min="4579" max="4579" width="10.5546875" style="2" customWidth="1"/>
    <col min="4580" max="4580" width="8.77734375" style="2" customWidth="1"/>
    <col min="4581" max="4582" width="10.21875" style="2" customWidth="1"/>
    <col min="4583" max="4583" width="10.77734375" style="2" bestFit="1" customWidth="1"/>
    <col min="4584" max="4584" width="9.21875" style="2"/>
    <col min="4585" max="4586" width="8.77734375" style="2" customWidth="1"/>
    <col min="4587" max="4587" width="10.21875" style="2" bestFit="1" customWidth="1"/>
    <col min="4588" max="4588" width="14" style="2" customWidth="1"/>
    <col min="4589" max="4589" width="16.77734375" style="2" bestFit="1" customWidth="1"/>
    <col min="4590" max="4590" width="8" style="2" bestFit="1" customWidth="1"/>
    <col min="4591" max="4591" width="9" style="2" bestFit="1" customWidth="1"/>
    <col min="4592" max="4592" width="6.21875" style="2" customWidth="1"/>
    <col min="4593" max="4593" width="6.77734375" style="2" customWidth="1"/>
    <col min="4594" max="4594" width="8" style="2" customWidth="1"/>
    <col min="4595" max="4595" width="6" style="2" customWidth="1"/>
    <col min="4596" max="4596" width="7.5546875" style="2" customWidth="1"/>
    <col min="4597" max="4597" width="9.21875" style="2"/>
    <col min="4598" max="4598" width="9.21875" style="2" bestFit="1" customWidth="1"/>
    <col min="4599" max="4599" width="15.77734375" style="2" customWidth="1"/>
    <col min="4600" max="4601" width="9.77734375" style="2" customWidth="1"/>
    <col min="4602" max="4607" width="9.21875" style="2"/>
    <col min="4608" max="4608" width="9.77734375" style="2" bestFit="1" customWidth="1"/>
    <col min="4609" max="4827" width="9.21875" style="2"/>
    <col min="4828" max="4828" width="8.44140625" style="2" customWidth="1"/>
    <col min="4829" max="4829" width="12.77734375" style="2" customWidth="1"/>
    <col min="4830" max="4830" width="15" style="2" bestFit="1" customWidth="1"/>
    <col min="4831" max="4831" width="7.21875" style="2" customWidth="1"/>
    <col min="4832" max="4832" width="10.21875" style="2" customWidth="1"/>
    <col min="4833" max="4833" width="5" style="2" bestFit="1" customWidth="1"/>
    <col min="4834" max="4834" width="8.77734375" style="2" customWidth="1"/>
    <col min="4835" max="4835" width="10.5546875" style="2" customWidth="1"/>
    <col min="4836" max="4836" width="8.77734375" style="2" customWidth="1"/>
    <col min="4837" max="4838" width="10.21875" style="2" customWidth="1"/>
    <col min="4839" max="4839" width="10.77734375" style="2" bestFit="1" customWidth="1"/>
    <col min="4840" max="4840" width="9.21875" style="2"/>
    <col min="4841" max="4842" width="8.77734375" style="2" customWidth="1"/>
    <col min="4843" max="4843" width="10.21875" style="2" bestFit="1" customWidth="1"/>
    <col min="4844" max="4844" width="14" style="2" customWidth="1"/>
    <col min="4845" max="4845" width="16.77734375" style="2" bestFit="1" customWidth="1"/>
    <col min="4846" max="4846" width="8" style="2" bestFit="1" customWidth="1"/>
    <col min="4847" max="4847" width="9" style="2" bestFit="1" customWidth="1"/>
    <col min="4848" max="4848" width="6.21875" style="2" customWidth="1"/>
    <col min="4849" max="4849" width="6.77734375" style="2" customWidth="1"/>
    <col min="4850" max="4850" width="8" style="2" customWidth="1"/>
    <col min="4851" max="4851" width="6" style="2" customWidth="1"/>
    <col min="4852" max="4852" width="7.5546875" style="2" customWidth="1"/>
    <col min="4853" max="4853" width="9.21875" style="2"/>
    <col min="4854" max="4854" width="9.21875" style="2" bestFit="1" customWidth="1"/>
    <col min="4855" max="4855" width="15.77734375" style="2" customWidth="1"/>
    <col min="4856" max="4857" width="9.77734375" style="2" customWidth="1"/>
    <col min="4858" max="4863" width="9.21875" style="2"/>
    <col min="4864" max="4864" width="9.77734375" style="2" bestFit="1" customWidth="1"/>
    <col min="4865" max="5083" width="9.21875" style="2"/>
    <col min="5084" max="5084" width="8.44140625" style="2" customWidth="1"/>
    <col min="5085" max="5085" width="12.77734375" style="2" customWidth="1"/>
    <col min="5086" max="5086" width="15" style="2" bestFit="1" customWidth="1"/>
    <col min="5087" max="5087" width="7.21875" style="2" customWidth="1"/>
    <col min="5088" max="5088" width="10.21875" style="2" customWidth="1"/>
    <col min="5089" max="5089" width="5" style="2" bestFit="1" customWidth="1"/>
    <col min="5090" max="5090" width="8.77734375" style="2" customWidth="1"/>
    <col min="5091" max="5091" width="10.5546875" style="2" customWidth="1"/>
    <col min="5092" max="5092" width="8.77734375" style="2" customWidth="1"/>
    <col min="5093" max="5094" width="10.21875" style="2" customWidth="1"/>
    <col min="5095" max="5095" width="10.77734375" style="2" bestFit="1" customWidth="1"/>
    <col min="5096" max="5096" width="9.21875" style="2"/>
    <col min="5097" max="5098" width="8.77734375" style="2" customWidth="1"/>
    <col min="5099" max="5099" width="10.21875" style="2" bestFit="1" customWidth="1"/>
    <col min="5100" max="5100" width="14" style="2" customWidth="1"/>
    <col min="5101" max="5101" width="16.77734375" style="2" bestFit="1" customWidth="1"/>
    <col min="5102" max="5102" width="8" style="2" bestFit="1" customWidth="1"/>
    <col min="5103" max="5103" width="9" style="2" bestFit="1" customWidth="1"/>
    <col min="5104" max="5104" width="6.21875" style="2" customWidth="1"/>
    <col min="5105" max="5105" width="6.77734375" style="2" customWidth="1"/>
    <col min="5106" max="5106" width="8" style="2" customWidth="1"/>
    <col min="5107" max="5107" width="6" style="2" customWidth="1"/>
    <col min="5108" max="5108" width="7.5546875" style="2" customWidth="1"/>
    <col min="5109" max="5109" width="9.21875" style="2"/>
    <col min="5110" max="5110" width="9.21875" style="2" bestFit="1" customWidth="1"/>
    <col min="5111" max="5111" width="15.77734375" style="2" customWidth="1"/>
    <col min="5112" max="5113" width="9.77734375" style="2" customWidth="1"/>
    <col min="5114" max="5119" width="9.21875" style="2"/>
    <col min="5120" max="5120" width="9.77734375" style="2" bestFit="1" customWidth="1"/>
    <col min="5121" max="5339" width="9.21875" style="2"/>
    <col min="5340" max="5340" width="8.44140625" style="2" customWidth="1"/>
    <col min="5341" max="5341" width="12.77734375" style="2" customWidth="1"/>
    <col min="5342" max="5342" width="15" style="2" bestFit="1" customWidth="1"/>
    <col min="5343" max="5343" width="7.21875" style="2" customWidth="1"/>
    <col min="5344" max="5344" width="10.21875" style="2" customWidth="1"/>
    <col min="5345" max="5345" width="5" style="2" bestFit="1" customWidth="1"/>
    <col min="5346" max="5346" width="8.77734375" style="2" customWidth="1"/>
    <col min="5347" max="5347" width="10.5546875" style="2" customWidth="1"/>
    <col min="5348" max="5348" width="8.77734375" style="2" customWidth="1"/>
    <col min="5349" max="5350" width="10.21875" style="2" customWidth="1"/>
    <col min="5351" max="5351" width="10.77734375" style="2" bestFit="1" customWidth="1"/>
    <col min="5352" max="5352" width="9.21875" style="2"/>
    <col min="5353" max="5354" width="8.77734375" style="2" customWidth="1"/>
    <col min="5355" max="5355" width="10.21875" style="2" bestFit="1" customWidth="1"/>
    <col min="5356" max="5356" width="14" style="2" customWidth="1"/>
    <col min="5357" max="5357" width="16.77734375" style="2" bestFit="1" customWidth="1"/>
    <col min="5358" max="5358" width="8" style="2" bestFit="1" customWidth="1"/>
    <col min="5359" max="5359" width="9" style="2" bestFit="1" customWidth="1"/>
    <col min="5360" max="5360" width="6.21875" style="2" customWidth="1"/>
    <col min="5361" max="5361" width="6.77734375" style="2" customWidth="1"/>
    <col min="5362" max="5362" width="8" style="2" customWidth="1"/>
    <col min="5363" max="5363" width="6" style="2" customWidth="1"/>
    <col min="5364" max="5364" width="7.5546875" style="2" customWidth="1"/>
    <col min="5365" max="5365" width="9.21875" style="2"/>
    <col min="5366" max="5366" width="9.21875" style="2" bestFit="1" customWidth="1"/>
    <col min="5367" max="5367" width="15.77734375" style="2" customWidth="1"/>
    <col min="5368" max="5369" width="9.77734375" style="2" customWidth="1"/>
    <col min="5370" max="5375" width="9.21875" style="2"/>
    <col min="5376" max="5376" width="9.77734375" style="2" bestFit="1" customWidth="1"/>
    <col min="5377" max="5595" width="9.21875" style="2"/>
    <col min="5596" max="5596" width="8.44140625" style="2" customWidth="1"/>
    <col min="5597" max="5597" width="12.77734375" style="2" customWidth="1"/>
    <col min="5598" max="5598" width="15" style="2" bestFit="1" customWidth="1"/>
    <col min="5599" max="5599" width="7.21875" style="2" customWidth="1"/>
    <col min="5600" max="5600" width="10.21875" style="2" customWidth="1"/>
    <col min="5601" max="5601" width="5" style="2" bestFit="1" customWidth="1"/>
    <col min="5602" max="5602" width="8.77734375" style="2" customWidth="1"/>
    <col min="5603" max="5603" width="10.5546875" style="2" customWidth="1"/>
    <col min="5604" max="5604" width="8.77734375" style="2" customWidth="1"/>
    <col min="5605" max="5606" width="10.21875" style="2" customWidth="1"/>
    <col min="5607" max="5607" width="10.77734375" style="2" bestFit="1" customWidth="1"/>
    <col min="5608" max="5608" width="9.21875" style="2"/>
    <col min="5609" max="5610" width="8.77734375" style="2" customWidth="1"/>
    <col min="5611" max="5611" width="10.21875" style="2" bestFit="1" customWidth="1"/>
    <col min="5612" max="5612" width="14" style="2" customWidth="1"/>
    <col min="5613" max="5613" width="16.77734375" style="2" bestFit="1" customWidth="1"/>
    <col min="5614" max="5614" width="8" style="2" bestFit="1" customWidth="1"/>
    <col min="5615" max="5615" width="9" style="2" bestFit="1" customWidth="1"/>
    <col min="5616" max="5616" width="6.21875" style="2" customWidth="1"/>
    <col min="5617" max="5617" width="6.77734375" style="2" customWidth="1"/>
    <col min="5618" max="5618" width="8" style="2" customWidth="1"/>
    <col min="5619" max="5619" width="6" style="2" customWidth="1"/>
    <col min="5620" max="5620" width="7.5546875" style="2" customWidth="1"/>
    <col min="5621" max="5621" width="9.21875" style="2"/>
    <col min="5622" max="5622" width="9.21875" style="2" bestFit="1" customWidth="1"/>
    <col min="5623" max="5623" width="15.77734375" style="2" customWidth="1"/>
    <col min="5624" max="5625" width="9.77734375" style="2" customWidth="1"/>
    <col min="5626" max="5631" width="9.21875" style="2"/>
    <col min="5632" max="5632" width="9.77734375" style="2" bestFit="1" customWidth="1"/>
    <col min="5633" max="5851" width="9.21875" style="2"/>
    <col min="5852" max="5852" width="8.44140625" style="2" customWidth="1"/>
    <col min="5853" max="5853" width="12.77734375" style="2" customWidth="1"/>
    <col min="5854" max="5854" width="15" style="2" bestFit="1" customWidth="1"/>
    <col min="5855" max="5855" width="7.21875" style="2" customWidth="1"/>
    <col min="5856" max="5856" width="10.21875" style="2" customWidth="1"/>
    <col min="5857" max="5857" width="5" style="2" bestFit="1" customWidth="1"/>
    <col min="5858" max="5858" width="8.77734375" style="2" customWidth="1"/>
    <col min="5859" max="5859" width="10.5546875" style="2" customWidth="1"/>
    <col min="5860" max="5860" width="8.77734375" style="2" customWidth="1"/>
    <col min="5861" max="5862" width="10.21875" style="2" customWidth="1"/>
    <col min="5863" max="5863" width="10.77734375" style="2" bestFit="1" customWidth="1"/>
    <col min="5864" max="5864" width="9.21875" style="2"/>
    <col min="5865" max="5866" width="8.77734375" style="2" customWidth="1"/>
    <col min="5867" max="5867" width="10.21875" style="2" bestFit="1" customWidth="1"/>
    <col min="5868" max="5868" width="14" style="2" customWidth="1"/>
    <col min="5869" max="5869" width="16.77734375" style="2" bestFit="1" customWidth="1"/>
    <col min="5870" max="5870" width="8" style="2" bestFit="1" customWidth="1"/>
    <col min="5871" max="5871" width="9" style="2" bestFit="1" customWidth="1"/>
    <col min="5872" max="5872" width="6.21875" style="2" customWidth="1"/>
    <col min="5873" max="5873" width="6.77734375" style="2" customWidth="1"/>
    <col min="5874" max="5874" width="8" style="2" customWidth="1"/>
    <col min="5875" max="5875" width="6" style="2" customWidth="1"/>
    <col min="5876" max="5876" width="7.5546875" style="2" customWidth="1"/>
    <col min="5877" max="5877" width="9.21875" style="2"/>
    <col min="5878" max="5878" width="9.21875" style="2" bestFit="1" customWidth="1"/>
    <col min="5879" max="5879" width="15.77734375" style="2" customWidth="1"/>
    <col min="5880" max="5881" width="9.77734375" style="2" customWidth="1"/>
    <col min="5882" max="5887" width="9.21875" style="2"/>
    <col min="5888" max="5888" width="9.77734375" style="2" bestFit="1" customWidth="1"/>
    <col min="5889" max="6107" width="9.21875" style="2"/>
    <col min="6108" max="6108" width="8.44140625" style="2" customWidth="1"/>
    <col min="6109" max="6109" width="12.77734375" style="2" customWidth="1"/>
    <col min="6110" max="6110" width="15" style="2" bestFit="1" customWidth="1"/>
    <col min="6111" max="6111" width="7.21875" style="2" customWidth="1"/>
    <col min="6112" max="6112" width="10.21875" style="2" customWidth="1"/>
    <col min="6113" max="6113" width="5" style="2" bestFit="1" customWidth="1"/>
    <col min="6114" max="6114" width="8.77734375" style="2" customWidth="1"/>
    <col min="6115" max="6115" width="10.5546875" style="2" customWidth="1"/>
    <col min="6116" max="6116" width="8.77734375" style="2" customWidth="1"/>
    <col min="6117" max="6118" width="10.21875" style="2" customWidth="1"/>
    <col min="6119" max="6119" width="10.77734375" style="2" bestFit="1" customWidth="1"/>
    <col min="6120" max="6120" width="9.21875" style="2"/>
    <col min="6121" max="6122" width="8.77734375" style="2" customWidth="1"/>
    <col min="6123" max="6123" width="10.21875" style="2" bestFit="1" customWidth="1"/>
    <col min="6124" max="6124" width="14" style="2" customWidth="1"/>
    <col min="6125" max="6125" width="16.77734375" style="2" bestFit="1" customWidth="1"/>
    <col min="6126" max="6126" width="8" style="2" bestFit="1" customWidth="1"/>
    <col min="6127" max="6127" width="9" style="2" bestFit="1" customWidth="1"/>
    <col min="6128" max="6128" width="6.21875" style="2" customWidth="1"/>
    <col min="6129" max="6129" width="6.77734375" style="2" customWidth="1"/>
    <col min="6130" max="6130" width="8" style="2" customWidth="1"/>
    <col min="6131" max="6131" width="6" style="2" customWidth="1"/>
    <col min="6132" max="6132" width="7.5546875" style="2" customWidth="1"/>
    <col min="6133" max="6133" width="9.21875" style="2"/>
    <col min="6134" max="6134" width="9.21875" style="2" bestFit="1" customWidth="1"/>
    <col min="6135" max="6135" width="15.77734375" style="2" customWidth="1"/>
    <col min="6136" max="6137" width="9.77734375" style="2" customWidth="1"/>
    <col min="6138" max="6143" width="9.21875" style="2"/>
    <col min="6144" max="6144" width="9.77734375" style="2" bestFit="1" customWidth="1"/>
    <col min="6145" max="6363" width="9.21875" style="2"/>
    <col min="6364" max="6364" width="8.44140625" style="2" customWidth="1"/>
    <col min="6365" max="6365" width="12.77734375" style="2" customWidth="1"/>
    <col min="6366" max="6366" width="15" style="2" bestFit="1" customWidth="1"/>
    <col min="6367" max="6367" width="7.21875" style="2" customWidth="1"/>
    <col min="6368" max="6368" width="10.21875" style="2" customWidth="1"/>
    <col min="6369" max="6369" width="5" style="2" bestFit="1" customWidth="1"/>
    <col min="6370" max="6370" width="8.77734375" style="2" customWidth="1"/>
    <col min="6371" max="6371" width="10.5546875" style="2" customWidth="1"/>
    <col min="6372" max="6372" width="8.77734375" style="2" customWidth="1"/>
    <col min="6373" max="6374" width="10.21875" style="2" customWidth="1"/>
    <col min="6375" max="6375" width="10.77734375" style="2" bestFit="1" customWidth="1"/>
    <col min="6376" max="6376" width="9.21875" style="2"/>
    <col min="6377" max="6378" width="8.77734375" style="2" customWidth="1"/>
    <col min="6379" max="6379" width="10.21875" style="2" bestFit="1" customWidth="1"/>
    <col min="6380" max="6380" width="14" style="2" customWidth="1"/>
    <col min="6381" max="6381" width="16.77734375" style="2" bestFit="1" customWidth="1"/>
    <col min="6382" max="6382" width="8" style="2" bestFit="1" customWidth="1"/>
    <col min="6383" max="6383" width="9" style="2" bestFit="1" customWidth="1"/>
    <col min="6384" max="6384" width="6.21875" style="2" customWidth="1"/>
    <col min="6385" max="6385" width="6.77734375" style="2" customWidth="1"/>
    <col min="6386" max="6386" width="8" style="2" customWidth="1"/>
    <col min="6387" max="6387" width="6" style="2" customWidth="1"/>
    <col min="6388" max="6388" width="7.5546875" style="2" customWidth="1"/>
    <col min="6389" max="6389" width="9.21875" style="2"/>
    <col min="6390" max="6390" width="9.21875" style="2" bestFit="1" customWidth="1"/>
    <col min="6391" max="6391" width="15.77734375" style="2" customWidth="1"/>
    <col min="6392" max="6393" width="9.77734375" style="2" customWidth="1"/>
    <col min="6394" max="6399" width="9.21875" style="2"/>
    <col min="6400" max="6400" width="9.77734375" style="2" bestFit="1" customWidth="1"/>
    <col min="6401" max="6619" width="9.21875" style="2"/>
    <col min="6620" max="6620" width="8.44140625" style="2" customWidth="1"/>
    <col min="6621" max="6621" width="12.77734375" style="2" customWidth="1"/>
    <col min="6622" max="6622" width="15" style="2" bestFit="1" customWidth="1"/>
    <col min="6623" max="6623" width="7.21875" style="2" customWidth="1"/>
    <col min="6624" max="6624" width="10.21875" style="2" customWidth="1"/>
    <col min="6625" max="6625" width="5" style="2" bestFit="1" customWidth="1"/>
    <col min="6626" max="6626" width="8.77734375" style="2" customWidth="1"/>
    <col min="6627" max="6627" width="10.5546875" style="2" customWidth="1"/>
    <col min="6628" max="6628" width="8.77734375" style="2" customWidth="1"/>
    <col min="6629" max="6630" width="10.21875" style="2" customWidth="1"/>
    <col min="6631" max="6631" width="10.77734375" style="2" bestFit="1" customWidth="1"/>
    <col min="6632" max="6632" width="9.21875" style="2"/>
    <col min="6633" max="6634" width="8.77734375" style="2" customWidth="1"/>
    <col min="6635" max="6635" width="10.21875" style="2" bestFit="1" customWidth="1"/>
    <col min="6636" max="6636" width="14" style="2" customWidth="1"/>
    <col min="6637" max="6637" width="16.77734375" style="2" bestFit="1" customWidth="1"/>
    <col min="6638" max="6638" width="8" style="2" bestFit="1" customWidth="1"/>
    <col min="6639" max="6639" width="9" style="2" bestFit="1" customWidth="1"/>
    <col min="6640" max="6640" width="6.21875" style="2" customWidth="1"/>
    <col min="6641" max="6641" width="6.77734375" style="2" customWidth="1"/>
    <col min="6642" max="6642" width="8" style="2" customWidth="1"/>
    <col min="6643" max="6643" width="6" style="2" customWidth="1"/>
    <col min="6644" max="6644" width="7.5546875" style="2" customWidth="1"/>
    <col min="6645" max="6645" width="9.21875" style="2"/>
    <col min="6646" max="6646" width="9.21875" style="2" bestFit="1" customWidth="1"/>
    <col min="6647" max="6647" width="15.77734375" style="2" customWidth="1"/>
    <col min="6648" max="6649" width="9.77734375" style="2" customWidth="1"/>
    <col min="6650" max="6655" width="9.21875" style="2"/>
    <col min="6656" max="6656" width="9.77734375" style="2" bestFit="1" customWidth="1"/>
    <col min="6657" max="6875" width="9.21875" style="2"/>
    <col min="6876" max="6876" width="8.44140625" style="2" customWidth="1"/>
    <col min="6877" max="6877" width="12.77734375" style="2" customWidth="1"/>
    <col min="6878" max="6878" width="15" style="2" bestFit="1" customWidth="1"/>
    <col min="6879" max="6879" width="7.21875" style="2" customWidth="1"/>
    <col min="6880" max="6880" width="10.21875" style="2" customWidth="1"/>
    <col min="6881" max="6881" width="5" style="2" bestFit="1" customWidth="1"/>
    <col min="6882" max="6882" width="8.77734375" style="2" customWidth="1"/>
    <col min="6883" max="6883" width="10.5546875" style="2" customWidth="1"/>
    <col min="6884" max="6884" width="8.77734375" style="2" customWidth="1"/>
    <col min="6885" max="6886" width="10.21875" style="2" customWidth="1"/>
    <col min="6887" max="6887" width="10.77734375" style="2" bestFit="1" customWidth="1"/>
    <col min="6888" max="6888" width="9.21875" style="2"/>
    <col min="6889" max="6890" width="8.77734375" style="2" customWidth="1"/>
    <col min="6891" max="6891" width="10.21875" style="2" bestFit="1" customWidth="1"/>
    <col min="6892" max="6892" width="14" style="2" customWidth="1"/>
    <col min="6893" max="6893" width="16.77734375" style="2" bestFit="1" customWidth="1"/>
    <col min="6894" max="6894" width="8" style="2" bestFit="1" customWidth="1"/>
    <col min="6895" max="6895" width="9" style="2" bestFit="1" customWidth="1"/>
    <col min="6896" max="6896" width="6.21875" style="2" customWidth="1"/>
    <col min="6897" max="6897" width="6.77734375" style="2" customWidth="1"/>
    <col min="6898" max="6898" width="8" style="2" customWidth="1"/>
    <col min="6899" max="6899" width="6" style="2" customWidth="1"/>
    <col min="6900" max="6900" width="7.5546875" style="2" customWidth="1"/>
    <col min="6901" max="6901" width="9.21875" style="2"/>
    <col min="6902" max="6902" width="9.21875" style="2" bestFit="1" customWidth="1"/>
    <col min="6903" max="6903" width="15.77734375" style="2" customWidth="1"/>
    <col min="6904" max="6905" width="9.77734375" style="2" customWidth="1"/>
    <col min="6906" max="6911" width="9.21875" style="2"/>
    <col min="6912" max="6912" width="9.77734375" style="2" bestFit="1" customWidth="1"/>
    <col min="6913" max="7131" width="9.21875" style="2"/>
    <col min="7132" max="7132" width="8.44140625" style="2" customWidth="1"/>
    <col min="7133" max="7133" width="12.77734375" style="2" customWidth="1"/>
    <col min="7134" max="7134" width="15" style="2" bestFit="1" customWidth="1"/>
    <col min="7135" max="7135" width="7.21875" style="2" customWidth="1"/>
    <col min="7136" max="7136" width="10.21875" style="2" customWidth="1"/>
    <col min="7137" max="7137" width="5" style="2" bestFit="1" customWidth="1"/>
    <col min="7138" max="7138" width="8.77734375" style="2" customWidth="1"/>
    <col min="7139" max="7139" width="10.5546875" style="2" customWidth="1"/>
    <col min="7140" max="7140" width="8.77734375" style="2" customWidth="1"/>
    <col min="7141" max="7142" width="10.21875" style="2" customWidth="1"/>
    <col min="7143" max="7143" width="10.77734375" style="2" bestFit="1" customWidth="1"/>
    <col min="7144" max="7144" width="9.21875" style="2"/>
    <col min="7145" max="7146" width="8.77734375" style="2" customWidth="1"/>
    <col min="7147" max="7147" width="10.21875" style="2" bestFit="1" customWidth="1"/>
    <col min="7148" max="7148" width="14" style="2" customWidth="1"/>
    <col min="7149" max="7149" width="16.77734375" style="2" bestFit="1" customWidth="1"/>
    <col min="7150" max="7150" width="8" style="2" bestFit="1" customWidth="1"/>
    <col min="7151" max="7151" width="9" style="2" bestFit="1" customWidth="1"/>
    <col min="7152" max="7152" width="6.21875" style="2" customWidth="1"/>
    <col min="7153" max="7153" width="6.77734375" style="2" customWidth="1"/>
    <col min="7154" max="7154" width="8" style="2" customWidth="1"/>
    <col min="7155" max="7155" width="6" style="2" customWidth="1"/>
    <col min="7156" max="7156" width="7.5546875" style="2" customWidth="1"/>
    <col min="7157" max="7157" width="9.21875" style="2"/>
    <col min="7158" max="7158" width="9.21875" style="2" bestFit="1" customWidth="1"/>
    <col min="7159" max="7159" width="15.77734375" style="2" customWidth="1"/>
    <col min="7160" max="7161" width="9.77734375" style="2" customWidth="1"/>
    <col min="7162" max="7167" width="9.21875" style="2"/>
    <col min="7168" max="7168" width="9.77734375" style="2" bestFit="1" customWidth="1"/>
    <col min="7169" max="7387" width="9.21875" style="2"/>
    <col min="7388" max="7388" width="8.44140625" style="2" customWidth="1"/>
    <col min="7389" max="7389" width="12.77734375" style="2" customWidth="1"/>
    <col min="7390" max="7390" width="15" style="2" bestFit="1" customWidth="1"/>
    <col min="7391" max="7391" width="7.21875" style="2" customWidth="1"/>
    <col min="7392" max="7392" width="10.21875" style="2" customWidth="1"/>
    <col min="7393" max="7393" width="5" style="2" bestFit="1" customWidth="1"/>
    <col min="7394" max="7394" width="8.77734375" style="2" customWidth="1"/>
    <col min="7395" max="7395" width="10.5546875" style="2" customWidth="1"/>
    <col min="7396" max="7396" width="8.77734375" style="2" customWidth="1"/>
    <col min="7397" max="7398" width="10.21875" style="2" customWidth="1"/>
    <col min="7399" max="7399" width="10.77734375" style="2" bestFit="1" customWidth="1"/>
    <col min="7400" max="7400" width="9.21875" style="2"/>
    <col min="7401" max="7402" width="8.77734375" style="2" customWidth="1"/>
    <col min="7403" max="7403" width="10.21875" style="2" bestFit="1" customWidth="1"/>
    <col min="7404" max="7404" width="14" style="2" customWidth="1"/>
    <col min="7405" max="7405" width="16.77734375" style="2" bestFit="1" customWidth="1"/>
    <col min="7406" max="7406" width="8" style="2" bestFit="1" customWidth="1"/>
    <col min="7407" max="7407" width="9" style="2" bestFit="1" customWidth="1"/>
    <col min="7408" max="7408" width="6.21875" style="2" customWidth="1"/>
    <col min="7409" max="7409" width="6.77734375" style="2" customWidth="1"/>
    <col min="7410" max="7410" width="8" style="2" customWidth="1"/>
    <col min="7411" max="7411" width="6" style="2" customWidth="1"/>
    <col min="7412" max="7412" width="7.5546875" style="2" customWidth="1"/>
    <col min="7413" max="7413" width="9.21875" style="2"/>
    <col min="7414" max="7414" width="9.21875" style="2" bestFit="1" customWidth="1"/>
    <col min="7415" max="7415" width="15.77734375" style="2" customWidth="1"/>
    <col min="7416" max="7417" width="9.77734375" style="2" customWidth="1"/>
    <col min="7418" max="7423" width="9.21875" style="2"/>
    <col min="7424" max="7424" width="9.77734375" style="2" bestFit="1" customWidth="1"/>
    <col min="7425" max="7643" width="9.21875" style="2"/>
    <col min="7644" max="7644" width="8.44140625" style="2" customWidth="1"/>
    <col min="7645" max="7645" width="12.77734375" style="2" customWidth="1"/>
    <col min="7646" max="7646" width="15" style="2" bestFit="1" customWidth="1"/>
    <col min="7647" max="7647" width="7.21875" style="2" customWidth="1"/>
    <col min="7648" max="7648" width="10.21875" style="2" customWidth="1"/>
    <col min="7649" max="7649" width="5" style="2" bestFit="1" customWidth="1"/>
    <col min="7650" max="7650" width="8.77734375" style="2" customWidth="1"/>
    <col min="7651" max="7651" width="10.5546875" style="2" customWidth="1"/>
    <col min="7652" max="7652" width="8.77734375" style="2" customWidth="1"/>
    <col min="7653" max="7654" width="10.21875" style="2" customWidth="1"/>
    <col min="7655" max="7655" width="10.77734375" style="2" bestFit="1" customWidth="1"/>
    <col min="7656" max="7656" width="9.21875" style="2"/>
    <col min="7657" max="7658" width="8.77734375" style="2" customWidth="1"/>
    <col min="7659" max="7659" width="10.21875" style="2" bestFit="1" customWidth="1"/>
    <col min="7660" max="7660" width="14" style="2" customWidth="1"/>
    <col min="7661" max="7661" width="16.77734375" style="2" bestFit="1" customWidth="1"/>
    <col min="7662" max="7662" width="8" style="2" bestFit="1" customWidth="1"/>
    <col min="7663" max="7663" width="9" style="2" bestFit="1" customWidth="1"/>
    <col min="7664" max="7664" width="6.21875" style="2" customWidth="1"/>
    <col min="7665" max="7665" width="6.77734375" style="2" customWidth="1"/>
    <col min="7666" max="7666" width="8" style="2" customWidth="1"/>
    <col min="7667" max="7667" width="6" style="2" customWidth="1"/>
    <col min="7668" max="7668" width="7.5546875" style="2" customWidth="1"/>
    <col min="7669" max="7669" width="9.21875" style="2"/>
    <col min="7670" max="7670" width="9.21875" style="2" bestFit="1" customWidth="1"/>
    <col min="7671" max="7671" width="15.77734375" style="2" customWidth="1"/>
    <col min="7672" max="7673" width="9.77734375" style="2" customWidth="1"/>
    <col min="7674" max="7679" width="9.21875" style="2"/>
    <col min="7680" max="7680" width="9.77734375" style="2" bestFit="1" customWidth="1"/>
    <col min="7681" max="7899" width="9.21875" style="2"/>
    <col min="7900" max="7900" width="8.44140625" style="2" customWidth="1"/>
    <col min="7901" max="7901" width="12.77734375" style="2" customWidth="1"/>
    <col min="7902" max="7902" width="15" style="2" bestFit="1" customWidth="1"/>
    <col min="7903" max="7903" width="7.21875" style="2" customWidth="1"/>
    <col min="7904" max="7904" width="10.21875" style="2" customWidth="1"/>
    <col min="7905" max="7905" width="5" style="2" bestFit="1" customWidth="1"/>
    <col min="7906" max="7906" width="8.77734375" style="2" customWidth="1"/>
    <col min="7907" max="7907" width="10.5546875" style="2" customWidth="1"/>
    <col min="7908" max="7908" width="8.77734375" style="2" customWidth="1"/>
    <col min="7909" max="7910" width="10.21875" style="2" customWidth="1"/>
    <col min="7911" max="7911" width="10.77734375" style="2" bestFit="1" customWidth="1"/>
    <col min="7912" max="7912" width="9.21875" style="2"/>
    <col min="7913" max="7914" width="8.77734375" style="2" customWidth="1"/>
    <col min="7915" max="7915" width="10.21875" style="2" bestFit="1" customWidth="1"/>
    <col min="7916" max="7916" width="14" style="2" customWidth="1"/>
    <col min="7917" max="7917" width="16.77734375" style="2" bestFit="1" customWidth="1"/>
    <col min="7918" max="7918" width="8" style="2" bestFit="1" customWidth="1"/>
    <col min="7919" max="7919" width="9" style="2" bestFit="1" customWidth="1"/>
    <col min="7920" max="7920" width="6.21875" style="2" customWidth="1"/>
    <col min="7921" max="7921" width="6.77734375" style="2" customWidth="1"/>
    <col min="7922" max="7922" width="8" style="2" customWidth="1"/>
    <col min="7923" max="7923" width="6" style="2" customWidth="1"/>
    <col min="7924" max="7924" width="7.5546875" style="2" customWidth="1"/>
    <col min="7925" max="7925" width="9.21875" style="2"/>
    <col min="7926" max="7926" width="9.21875" style="2" bestFit="1" customWidth="1"/>
    <col min="7927" max="7927" width="15.77734375" style="2" customWidth="1"/>
    <col min="7928" max="7929" width="9.77734375" style="2" customWidth="1"/>
    <col min="7930" max="7935" width="9.21875" style="2"/>
    <col min="7936" max="7936" width="9.77734375" style="2" bestFit="1" customWidth="1"/>
    <col min="7937" max="8155" width="9.21875" style="2"/>
    <col min="8156" max="8156" width="8.44140625" style="2" customWidth="1"/>
    <col min="8157" max="8157" width="12.77734375" style="2" customWidth="1"/>
    <col min="8158" max="8158" width="15" style="2" bestFit="1" customWidth="1"/>
    <col min="8159" max="8159" width="7.21875" style="2" customWidth="1"/>
    <col min="8160" max="8160" width="10.21875" style="2" customWidth="1"/>
    <col min="8161" max="8161" width="5" style="2" bestFit="1" customWidth="1"/>
    <col min="8162" max="8162" width="8.77734375" style="2" customWidth="1"/>
    <col min="8163" max="8163" width="10.5546875" style="2" customWidth="1"/>
    <col min="8164" max="8164" width="8.77734375" style="2" customWidth="1"/>
    <col min="8165" max="8166" width="10.21875" style="2" customWidth="1"/>
    <col min="8167" max="8167" width="10.77734375" style="2" bestFit="1" customWidth="1"/>
    <col min="8168" max="8168" width="9.21875" style="2"/>
    <col min="8169" max="8170" width="8.77734375" style="2" customWidth="1"/>
    <col min="8171" max="8171" width="10.21875" style="2" bestFit="1" customWidth="1"/>
    <col min="8172" max="8172" width="14" style="2" customWidth="1"/>
    <col min="8173" max="8173" width="16.77734375" style="2" bestFit="1" customWidth="1"/>
    <col min="8174" max="8174" width="8" style="2" bestFit="1" customWidth="1"/>
    <col min="8175" max="8175" width="9" style="2" bestFit="1" customWidth="1"/>
    <col min="8176" max="8176" width="6.21875" style="2" customWidth="1"/>
    <col min="8177" max="8177" width="6.77734375" style="2" customWidth="1"/>
    <col min="8178" max="8178" width="8" style="2" customWidth="1"/>
    <col min="8179" max="8179" width="6" style="2" customWidth="1"/>
    <col min="8180" max="8180" width="7.5546875" style="2" customWidth="1"/>
    <col min="8181" max="8181" width="9.21875" style="2"/>
    <col min="8182" max="8182" width="9.21875" style="2" bestFit="1" customWidth="1"/>
    <col min="8183" max="8183" width="15.77734375" style="2" customWidth="1"/>
    <col min="8184" max="8185" width="9.77734375" style="2" customWidth="1"/>
    <col min="8186" max="8191" width="9.21875" style="2"/>
    <col min="8192" max="8192" width="9.77734375" style="2" bestFit="1" customWidth="1"/>
    <col min="8193" max="8411" width="9.21875" style="2"/>
    <col min="8412" max="8412" width="8.44140625" style="2" customWidth="1"/>
    <col min="8413" max="8413" width="12.77734375" style="2" customWidth="1"/>
    <col min="8414" max="8414" width="15" style="2" bestFit="1" customWidth="1"/>
    <col min="8415" max="8415" width="7.21875" style="2" customWidth="1"/>
    <col min="8416" max="8416" width="10.21875" style="2" customWidth="1"/>
    <col min="8417" max="8417" width="5" style="2" bestFit="1" customWidth="1"/>
    <col min="8418" max="8418" width="8.77734375" style="2" customWidth="1"/>
    <col min="8419" max="8419" width="10.5546875" style="2" customWidth="1"/>
    <col min="8420" max="8420" width="8.77734375" style="2" customWidth="1"/>
    <col min="8421" max="8422" width="10.21875" style="2" customWidth="1"/>
    <col min="8423" max="8423" width="10.77734375" style="2" bestFit="1" customWidth="1"/>
    <col min="8424" max="8424" width="9.21875" style="2"/>
    <col min="8425" max="8426" width="8.77734375" style="2" customWidth="1"/>
    <col min="8427" max="8427" width="10.21875" style="2" bestFit="1" customWidth="1"/>
    <col min="8428" max="8428" width="14" style="2" customWidth="1"/>
    <col min="8429" max="8429" width="16.77734375" style="2" bestFit="1" customWidth="1"/>
    <col min="8430" max="8430" width="8" style="2" bestFit="1" customWidth="1"/>
    <col min="8431" max="8431" width="9" style="2" bestFit="1" customWidth="1"/>
    <col min="8432" max="8432" width="6.21875" style="2" customWidth="1"/>
    <col min="8433" max="8433" width="6.77734375" style="2" customWidth="1"/>
    <col min="8434" max="8434" width="8" style="2" customWidth="1"/>
    <col min="8435" max="8435" width="6" style="2" customWidth="1"/>
    <col min="8436" max="8436" width="7.5546875" style="2" customWidth="1"/>
    <col min="8437" max="8437" width="9.21875" style="2"/>
    <col min="8438" max="8438" width="9.21875" style="2" bestFit="1" customWidth="1"/>
    <col min="8439" max="8439" width="15.77734375" style="2" customWidth="1"/>
    <col min="8440" max="8441" width="9.77734375" style="2" customWidth="1"/>
    <col min="8442" max="8447" width="9.21875" style="2"/>
    <col min="8448" max="8448" width="9.77734375" style="2" bestFit="1" customWidth="1"/>
    <col min="8449" max="8667" width="9.21875" style="2"/>
    <col min="8668" max="8668" width="8.44140625" style="2" customWidth="1"/>
    <col min="8669" max="8669" width="12.77734375" style="2" customWidth="1"/>
    <col min="8670" max="8670" width="15" style="2" bestFit="1" customWidth="1"/>
    <col min="8671" max="8671" width="7.21875" style="2" customWidth="1"/>
    <col min="8672" max="8672" width="10.21875" style="2" customWidth="1"/>
    <col min="8673" max="8673" width="5" style="2" bestFit="1" customWidth="1"/>
    <col min="8674" max="8674" width="8.77734375" style="2" customWidth="1"/>
    <col min="8675" max="8675" width="10.5546875" style="2" customWidth="1"/>
    <col min="8676" max="8676" width="8.77734375" style="2" customWidth="1"/>
    <col min="8677" max="8678" width="10.21875" style="2" customWidth="1"/>
    <col min="8679" max="8679" width="10.77734375" style="2" bestFit="1" customWidth="1"/>
    <col min="8680" max="8680" width="9.21875" style="2"/>
    <col min="8681" max="8682" width="8.77734375" style="2" customWidth="1"/>
    <col min="8683" max="8683" width="10.21875" style="2" bestFit="1" customWidth="1"/>
    <col min="8684" max="8684" width="14" style="2" customWidth="1"/>
    <col min="8685" max="8685" width="16.77734375" style="2" bestFit="1" customWidth="1"/>
    <col min="8686" max="8686" width="8" style="2" bestFit="1" customWidth="1"/>
    <col min="8687" max="8687" width="9" style="2" bestFit="1" customWidth="1"/>
    <col min="8688" max="8688" width="6.21875" style="2" customWidth="1"/>
    <col min="8689" max="8689" width="6.77734375" style="2" customWidth="1"/>
    <col min="8690" max="8690" width="8" style="2" customWidth="1"/>
    <col min="8691" max="8691" width="6" style="2" customWidth="1"/>
    <col min="8692" max="8692" width="7.5546875" style="2" customWidth="1"/>
    <col min="8693" max="8693" width="9.21875" style="2"/>
    <col min="8694" max="8694" width="9.21875" style="2" bestFit="1" customWidth="1"/>
    <col min="8695" max="8695" width="15.77734375" style="2" customWidth="1"/>
    <col min="8696" max="8697" width="9.77734375" style="2" customWidth="1"/>
    <col min="8698" max="8703" width="9.21875" style="2"/>
    <col min="8704" max="8704" width="9.77734375" style="2" bestFit="1" customWidth="1"/>
    <col min="8705" max="8923" width="9.21875" style="2"/>
    <col min="8924" max="8924" width="8.44140625" style="2" customWidth="1"/>
    <col min="8925" max="8925" width="12.77734375" style="2" customWidth="1"/>
    <col min="8926" max="8926" width="15" style="2" bestFit="1" customWidth="1"/>
    <col min="8927" max="8927" width="7.21875" style="2" customWidth="1"/>
    <col min="8928" max="8928" width="10.21875" style="2" customWidth="1"/>
    <col min="8929" max="8929" width="5" style="2" bestFit="1" customWidth="1"/>
    <col min="8930" max="8930" width="8.77734375" style="2" customWidth="1"/>
    <col min="8931" max="8931" width="10.5546875" style="2" customWidth="1"/>
    <col min="8932" max="8932" width="8.77734375" style="2" customWidth="1"/>
    <col min="8933" max="8934" width="10.21875" style="2" customWidth="1"/>
    <col min="8935" max="8935" width="10.77734375" style="2" bestFit="1" customWidth="1"/>
    <col min="8936" max="8936" width="9.21875" style="2"/>
    <col min="8937" max="8938" width="8.77734375" style="2" customWidth="1"/>
    <col min="8939" max="8939" width="10.21875" style="2" bestFit="1" customWidth="1"/>
    <col min="8940" max="8940" width="14" style="2" customWidth="1"/>
    <col min="8941" max="8941" width="16.77734375" style="2" bestFit="1" customWidth="1"/>
    <col min="8942" max="8942" width="8" style="2" bestFit="1" customWidth="1"/>
    <col min="8943" max="8943" width="9" style="2" bestFit="1" customWidth="1"/>
    <col min="8944" max="8944" width="6.21875" style="2" customWidth="1"/>
    <col min="8945" max="8945" width="6.77734375" style="2" customWidth="1"/>
    <col min="8946" max="8946" width="8" style="2" customWidth="1"/>
    <col min="8947" max="8947" width="6" style="2" customWidth="1"/>
    <col min="8948" max="8948" width="7.5546875" style="2" customWidth="1"/>
    <col min="8949" max="8949" width="9.21875" style="2"/>
    <col min="8950" max="8950" width="9.21875" style="2" bestFit="1" customWidth="1"/>
    <col min="8951" max="8951" width="15.77734375" style="2" customWidth="1"/>
    <col min="8952" max="8953" width="9.77734375" style="2" customWidth="1"/>
    <col min="8954" max="8959" width="9.21875" style="2"/>
    <col min="8960" max="8960" width="9.77734375" style="2" bestFit="1" customWidth="1"/>
    <col min="8961" max="9179" width="9.21875" style="2"/>
    <col min="9180" max="9180" width="8.44140625" style="2" customWidth="1"/>
    <col min="9181" max="9181" width="12.77734375" style="2" customWidth="1"/>
    <col min="9182" max="9182" width="15" style="2" bestFit="1" customWidth="1"/>
    <col min="9183" max="9183" width="7.21875" style="2" customWidth="1"/>
    <col min="9184" max="9184" width="10.21875" style="2" customWidth="1"/>
    <col min="9185" max="9185" width="5" style="2" bestFit="1" customWidth="1"/>
    <col min="9186" max="9186" width="8.77734375" style="2" customWidth="1"/>
    <col min="9187" max="9187" width="10.5546875" style="2" customWidth="1"/>
    <col min="9188" max="9188" width="8.77734375" style="2" customWidth="1"/>
    <col min="9189" max="9190" width="10.21875" style="2" customWidth="1"/>
    <col min="9191" max="9191" width="10.77734375" style="2" bestFit="1" customWidth="1"/>
    <col min="9192" max="9192" width="9.21875" style="2"/>
    <col min="9193" max="9194" width="8.77734375" style="2" customWidth="1"/>
    <col min="9195" max="9195" width="10.21875" style="2" bestFit="1" customWidth="1"/>
    <col min="9196" max="9196" width="14" style="2" customWidth="1"/>
    <col min="9197" max="9197" width="16.77734375" style="2" bestFit="1" customWidth="1"/>
    <col min="9198" max="9198" width="8" style="2" bestFit="1" customWidth="1"/>
    <col min="9199" max="9199" width="9" style="2" bestFit="1" customWidth="1"/>
    <col min="9200" max="9200" width="6.21875" style="2" customWidth="1"/>
    <col min="9201" max="9201" width="6.77734375" style="2" customWidth="1"/>
    <col min="9202" max="9202" width="8" style="2" customWidth="1"/>
    <col min="9203" max="9203" width="6" style="2" customWidth="1"/>
    <col min="9204" max="9204" width="7.5546875" style="2" customWidth="1"/>
    <col min="9205" max="9205" width="9.21875" style="2"/>
    <col min="9206" max="9206" width="9.21875" style="2" bestFit="1" customWidth="1"/>
    <col min="9207" max="9207" width="15.77734375" style="2" customWidth="1"/>
    <col min="9208" max="9209" width="9.77734375" style="2" customWidth="1"/>
    <col min="9210" max="9215" width="9.21875" style="2"/>
    <col min="9216" max="9216" width="9.77734375" style="2" bestFit="1" customWidth="1"/>
    <col min="9217" max="9435" width="9.21875" style="2"/>
    <col min="9436" max="9436" width="8.44140625" style="2" customWidth="1"/>
    <col min="9437" max="9437" width="12.77734375" style="2" customWidth="1"/>
    <col min="9438" max="9438" width="15" style="2" bestFit="1" customWidth="1"/>
    <col min="9439" max="9439" width="7.21875" style="2" customWidth="1"/>
    <col min="9440" max="9440" width="10.21875" style="2" customWidth="1"/>
    <col min="9441" max="9441" width="5" style="2" bestFit="1" customWidth="1"/>
    <col min="9442" max="9442" width="8.77734375" style="2" customWidth="1"/>
    <col min="9443" max="9443" width="10.5546875" style="2" customWidth="1"/>
    <col min="9444" max="9444" width="8.77734375" style="2" customWidth="1"/>
    <col min="9445" max="9446" width="10.21875" style="2" customWidth="1"/>
    <col min="9447" max="9447" width="10.77734375" style="2" bestFit="1" customWidth="1"/>
    <col min="9448" max="9448" width="9.21875" style="2"/>
    <col min="9449" max="9450" width="8.77734375" style="2" customWidth="1"/>
    <col min="9451" max="9451" width="10.21875" style="2" bestFit="1" customWidth="1"/>
    <col min="9452" max="9452" width="14" style="2" customWidth="1"/>
    <col min="9453" max="9453" width="16.77734375" style="2" bestFit="1" customWidth="1"/>
    <col min="9454" max="9454" width="8" style="2" bestFit="1" customWidth="1"/>
    <col min="9455" max="9455" width="9" style="2" bestFit="1" customWidth="1"/>
    <col min="9456" max="9456" width="6.21875" style="2" customWidth="1"/>
    <col min="9457" max="9457" width="6.77734375" style="2" customWidth="1"/>
    <col min="9458" max="9458" width="8" style="2" customWidth="1"/>
    <col min="9459" max="9459" width="6" style="2" customWidth="1"/>
    <col min="9460" max="9460" width="7.5546875" style="2" customWidth="1"/>
    <col min="9461" max="9461" width="9.21875" style="2"/>
    <col min="9462" max="9462" width="9.21875" style="2" bestFit="1" customWidth="1"/>
    <col min="9463" max="9463" width="15.77734375" style="2" customWidth="1"/>
    <col min="9464" max="9465" width="9.77734375" style="2" customWidth="1"/>
    <col min="9466" max="9471" width="9.21875" style="2"/>
    <col min="9472" max="9472" width="9.77734375" style="2" bestFit="1" customWidth="1"/>
    <col min="9473" max="9691" width="9.21875" style="2"/>
    <col min="9692" max="9692" width="8.44140625" style="2" customWidth="1"/>
    <col min="9693" max="9693" width="12.77734375" style="2" customWidth="1"/>
    <col min="9694" max="9694" width="15" style="2" bestFit="1" customWidth="1"/>
    <col min="9695" max="9695" width="7.21875" style="2" customWidth="1"/>
    <col min="9696" max="9696" width="10.21875" style="2" customWidth="1"/>
    <col min="9697" max="9697" width="5" style="2" bestFit="1" customWidth="1"/>
    <col min="9698" max="9698" width="8.77734375" style="2" customWidth="1"/>
    <col min="9699" max="9699" width="10.5546875" style="2" customWidth="1"/>
    <col min="9700" max="9700" width="8.77734375" style="2" customWidth="1"/>
    <col min="9701" max="9702" width="10.21875" style="2" customWidth="1"/>
    <col min="9703" max="9703" width="10.77734375" style="2" bestFit="1" customWidth="1"/>
    <col min="9704" max="9704" width="9.21875" style="2"/>
    <col min="9705" max="9706" width="8.77734375" style="2" customWidth="1"/>
    <col min="9707" max="9707" width="10.21875" style="2" bestFit="1" customWidth="1"/>
    <col min="9708" max="9708" width="14" style="2" customWidth="1"/>
    <col min="9709" max="9709" width="16.77734375" style="2" bestFit="1" customWidth="1"/>
    <col min="9710" max="9710" width="8" style="2" bestFit="1" customWidth="1"/>
    <col min="9711" max="9711" width="9" style="2" bestFit="1" customWidth="1"/>
    <col min="9712" max="9712" width="6.21875" style="2" customWidth="1"/>
    <col min="9713" max="9713" width="6.77734375" style="2" customWidth="1"/>
    <col min="9714" max="9714" width="8" style="2" customWidth="1"/>
    <col min="9715" max="9715" width="6" style="2" customWidth="1"/>
    <col min="9716" max="9716" width="7.5546875" style="2" customWidth="1"/>
    <col min="9717" max="9717" width="9.21875" style="2"/>
    <col min="9718" max="9718" width="9.21875" style="2" bestFit="1" customWidth="1"/>
    <col min="9719" max="9719" width="15.77734375" style="2" customWidth="1"/>
    <col min="9720" max="9721" width="9.77734375" style="2" customWidth="1"/>
    <col min="9722" max="9727" width="9.21875" style="2"/>
    <col min="9728" max="9728" width="9.77734375" style="2" bestFit="1" customWidth="1"/>
    <col min="9729" max="9947" width="9.21875" style="2"/>
    <col min="9948" max="9948" width="8.44140625" style="2" customWidth="1"/>
    <col min="9949" max="9949" width="12.77734375" style="2" customWidth="1"/>
    <col min="9950" max="9950" width="15" style="2" bestFit="1" customWidth="1"/>
    <col min="9951" max="9951" width="7.21875" style="2" customWidth="1"/>
    <col min="9952" max="9952" width="10.21875" style="2" customWidth="1"/>
    <col min="9953" max="9953" width="5" style="2" bestFit="1" customWidth="1"/>
    <col min="9954" max="9954" width="8.77734375" style="2" customWidth="1"/>
    <col min="9955" max="9955" width="10.5546875" style="2" customWidth="1"/>
    <col min="9956" max="9956" width="8.77734375" style="2" customWidth="1"/>
    <col min="9957" max="9958" width="10.21875" style="2" customWidth="1"/>
    <col min="9959" max="9959" width="10.77734375" style="2" bestFit="1" customWidth="1"/>
    <col min="9960" max="9960" width="9.21875" style="2"/>
    <col min="9961" max="9962" width="8.77734375" style="2" customWidth="1"/>
    <col min="9963" max="9963" width="10.21875" style="2" bestFit="1" customWidth="1"/>
    <col min="9964" max="9964" width="14" style="2" customWidth="1"/>
    <col min="9965" max="9965" width="16.77734375" style="2" bestFit="1" customWidth="1"/>
    <col min="9966" max="9966" width="8" style="2" bestFit="1" customWidth="1"/>
    <col min="9967" max="9967" width="9" style="2" bestFit="1" customWidth="1"/>
    <col min="9968" max="9968" width="6.21875" style="2" customWidth="1"/>
    <col min="9969" max="9969" width="6.77734375" style="2" customWidth="1"/>
    <col min="9970" max="9970" width="8" style="2" customWidth="1"/>
    <col min="9971" max="9971" width="6" style="2" customWidth="1"/>
    <col min="9972" max="9972" width="7.5546875" style="2" customWidth="1"/>
    <col min="9973" max="9973" width="9.21875" style="2"/>
    <col min="9974" max="9974" width="9.21875" style="2" bestFit="1" customWidth="1"/>
    <col min="9975" max="9975" width="15.77734375" style="2" customWidth="1"/>
    <col min="9976" max="9977" width="9.77734375" style="2" customWidth="1"/>
    <col min="9978" max="9983" width="9.21875" style="2"/>
    <col min="9984" max="9984" width="9.77734375" style="2" bestFit="1" customWidth="1"/>
    <col min="9985" max="10203" width="9.21875" style="2"/>
    <col min="10204" max="10204" width="8.44140625" style="2" customWidth="1"/>
    <col min="10205" max="10205" width="12.77734375" style="2" customWidth="1"/>
    <col min="10206" max="10206" width="15" style="2" bestFit="1" customWidth="1"/>
    <col min="10207" max="10207" width="7.21875" style="2" customWidth="1"/>
    <col min="10208" max="10208" width="10.21875" style="2" customWidth="1"/>
    <col min="10209" max="10209" width="5" style="2" bestFit="1" customWidth="1"/>
    <col min="10210" max="10210" width="8.77734375" style="2" customWidth="1"/>
    <col min="10211" max="10211" width="10.5546875" style="2" customWidth="1"/>
    <col min="10212" max="10212" width="8.77734375" style="2" customWidth="1"/>
    <col min="10213" max="10214" width="10.21875" style="2" customWidth="1"/>
    <col min="10215" max="10215" width="10.77734375" style="2" bestFit="1" customWidth="1"/>
    <col min="10216" max="10216" width="9.21875" style="2"/>
    <col min="10217" max="10218" width="8.77734375" style="2" customWidth="1"/>
    <col min="10219" max="10219" width="10.21875" style="2" bestFit="1" customWidth="1"/>
    <col min="10220" max="10220" width="14" style="2" customWidth="1"/>
    <col min="10221" max="10221" width="16.77734375" style="2" bestFit="1" customWidth="1"/>
    <col min="10222" max="10222" width="8" style="2" bestFit="1" customWidth="1"/>
    <col min="10223" max="10223" width="9" style="2" bestFit="1" customWidth="1"/>
    <col min="10224" max="10224" width="6.21875" style="2" customWidth="1"/>
    <col min="10225" max="10225" width="6.77734375" style="2" customWidth="1"/>
    <col min="10226" max="10226" width="8" style="2" customWidth="1"/>
    <col min="10227" max="10227" width="6" style="2" customWidth="1"/>
    <col min="10228" max="10228" width="7.5546875" style="2" customWidth="1"/>
    <col min="10229" max="10229" width="9.21875" style="2"/>
    <col min="10230" max="10230" width="9.21875" style="2" bestFit="1" customWidth="1"/>
    <col min="10231" max="10231" width="15.77734375" style="2" customWidth="1"/>
    <col min="10232" max="10233" width="9.77734375" style="2" customWidth="1"/>
    <col min="10234" max="10239" width="9.21875" style="2"/>
    <col min="10240" max="10240" width="9.77734375" style="2" bestFit="1" customWidth="1"/>
    <col min="10241" max="10459" width="9.21875" style="2"/>
    <col min="10460" max="10460" width="8.44140625" style="2" customWidth="1"/>
    <col min="10461" max="10461" width="12.77734375" style="2" customWidth="1"/>
    <col min="10462" max="10462" width="15" style="2" bestFit="1" customWidth="1"/>
    <col min="10463" max="10463" width="7.21875" style="2" customWidth="1"/>
    <col min="10464" max="10464" width="10.21875" style="2" customWidth="1"/>
    <col min="10465" max="10465" width="5" style="2" bestFit="1" customWidth="1"/>
    <col min="10466" max="10466" width="8.77734375" style="2" customWidth="1"/>
    <col min="10467" max="10467" width="10.5546875" style="2" customWidth="1"/>
    <col min="10468" max="10468" width="8.77734375" style="2" customWidth="1"/>
    <col min="10469" max="10470" width="10.21875" style="2" customWidth="1"/>
    <col min="10471" max="10471" width="10.77734375" style="2" bestFit="1" customWidth="1"/>
    <col min="10472" max="10472" width="9.21875" style="2"/>
    <col min="10473" max="10474" width="8.77734375" style="2" customWidth="1"/>
    <col min="10475" max="10475" width="10.21875" style="2" bestFit="1" customWidth="1"/>
    <col min="10476" max="10476" width="14" style="2" customWidth="1"/>
    <col min="10477" max="10477" width="16.77734375" style="2" bestFit="1" customWidth="1"/>
    <col min="10478" max="10478" width="8" style="2" bestFit="1" customWidth="1"/>
    <col min="10479" max="10479" width="9" style="2" bestFit="1" customWidth="1"/>
    <col min="10480" max="10480" width="6.21875" style="2" customWidth="1"/>
    <col min="10481" max="10481" width="6.77734375" style="2" customWidth="1"/>
    <col min="10482" max="10482" width="8" style="2" customWidth="1"/>
    <col min="10483" max="10483" width="6" style="2" customWidth="1"/>
    <col min="10484" max="10484" width="7.5546875" style="2" customWidth="1"/>
    <col min="10485" max="10485" width="9.21875" style="2"/>
    <col min="10486" max="10486" width="9.21875" style="2" bestFit="1" customWidth="1"/>
    <col min="10487" max="10487" width="15.77734375" style="2" customWidth="1"/>
    <col min="10488" max="10489" width="9.77734375" style="2" customWidth="1"/>
    <col min="10490" max="10495" width="9.21875" style="2"/>
    <col min="10496" max="10496" width="9.77734375" style="2" bestFit="1" customWidth="1"/>
    <col min="10497" max="10715" width="9.21875" style="2"/>
    <col min="10716" max="10716" width="8.44140625" style="2" customWidth="1"/>
    <col min="10717" max="10717" width="12.77734375" style="2" customWidth="1"/>
    <col min="10718" max="10718" width="15" style="2" bestFit="1" customWidth="1"/>
    <col min="10719" max="10719" width="7.21875" style="2" customWidth="1"/>
    <col min="10720" max="10720" width="10.21875" style="2" customWidth="1"/>
    <col min="10721" max="10721" width="5" style="2" bestFit="1" customWidth="1"/>
    <col min="10722" max="10722" width="8.77734375" style="2" customWidth="1"/>
    <col min="10723" max="10723" width="10.5546875" style="2" customWidth="1"/>
    <col min="10724" max="10724" width="8.77734375" style="2" customWidth="1"/>
    <col min="10725" max="10726" width="10.21875" style="2" customWidth="1"/>
    <col min="10727" max="10727" width="10.77734375" style="2" bestFit="1" customWidth="1"/>
    <col min="10728" max="10728" width="9.21875" style="2"/>
    <col min="10729" max="10730" width="8.77734375" style="2" customWidth="1"/>
    <col min="10731" max="10731" width="10.21875" style="2" bestFit="1" customWidth="1"/>
    <col min="10732" max="10732" width="14" style="2" customWidth="1"/>
    <col min="10733" max="10733" width="16.77734375" style="2" bestFit="1" customWidth="1"/>
    <col min="10734" max="10734" width="8" style="2" bestFit="1" customWidth="1"/>
    <col min="10735" max="10735" width="9" style="2" bestFit="1" customWidth="1"/>
    <col min="10736" max="10736" width="6.21875" style="2" customWidth="1"/>
    <col min="10737" max="10737" width="6.77734375" style="2" customWidth="1"/>
    <col min="10738" max="10738" width="8" style="2" customWidth="1"/>
    <col min="10739" max="10739" width="6" style="2" customWidth="1"/>
    <col min="10740" max="10740" width="7.5546875" style="2" customWidth="1"/>
    <col min="10741" max="10741" width="9.21875" style="2"/>
    <col min="10742" max="10742" width="9.21875" style="2" bestFit="1" customWidth="1"/>
    <col min="10743" max="10743" width="15.77734375" style="2" customWidth="1"/>
    <col min="10744" max="10745" width="9.77734375" style="2" customWidth="1"/>
    <col min="10746" max="10751" width="9.21875" style="2"/>
    <col min="10752" max="10752" width="9.77734375" style="2" bestFit="1" customWidth="1"/>
    <col min="10753" max="10971" width="9.21875" style="2"/>
    <col min="10972" max="10972" width="8.44140625" style="2" customWidth="1"/>
    <col min="10973" max="10973" width="12.77734375" style="2" customWidth="1"/>
    <col min="10974" max="10974" width="15" style="2" bestFit="1" customWidth="1"/>
    <col min="10975" max="10975" width="7.21875" style="2" customWidth="1"/>
    <col min="10976" max="10976" width="10.21875" style="2" customWidth="1"/>
    <col min="10977" max="10977" width="5" style="2" bestFit="1" customWidth="1"/>
    <col min="10978" max="10978" width="8.77734375" style="2" customWidth="1"/>
    <col min="10979" max="10979" width="10.5546875" style="2" customWidth="1"/>
    <col min="10980" max="10980" width="8.77734375" style="2" customWidth="1"/>
    <col min="10981" max="10982" width="10.21875" style="2" customWidth="1"/>
    <col min="10983" max="10983" width="10.77734375" style="2" bestFit="1" customWidth="1"/>
    <col min="10984" max="10984" width="9.21875" style="2"/>
    <col min="10985" max="10986" width="8.77734375" style="2" customWidth="1"/>
    <col min="10987" max="10987" width="10.21875" style="2" bestFit="1" customWidth="1"/>
    <col min="10988" max="10988" width="14" style="2" customWidth="1"/>
    <col min="10989" max="10989" width="16.77734375" style="2" bestFit="1" customWidth="1"/>
    <col min="10990" max="10990" width="8" style="2" bestFit="1" customWidth="1"/>
    <col min="10991" max="10991" width="9" style="2" bestFit="1" customWidth="1"/>
    <col min="10992" max="10992" width="6.21875" style="2" customWidth="1"/>
    <col min="10993" max="10993" width="6.77734375" style="2" customWidth="1"/>
    <col min="10994" max="10994" width="8" style="2" customWidth="1"/>
    <col min="10995" max="10995" width="6" style="2" customWidth="1"/>
    <col min="10996" max="10996" width="7.5546875" style="2" customWidth="1"/>
    <col min="10997" max="10997" width="9.21875" style="2"/>
    <col min="10998" max="10998" width="9.21875" style="2" bestFit="1" customWidth="1"/>
    <col min="10999" max="10999" width="15.77734375" style="2" customWidth="1"/>
    <col min="11000" max="11001" width="9.77734375" style="2" customWidth="1"/>
    <col min="11002" max="11007" width="9.21875" style="2"/>
    <col min="11008" max="11008" width="9.77734375" style="2" bestFit="1" customWidth="1"/>
    <col min="11009" max="11227" width="9.21875" style="2"/>
    <col min="11228" max="11228" width="8.44140625" style="2" customWidth="1"/>
    <col min="11229" max="11229" width="12.77734375" style="2" customWidth="1"/>
    <col min="11230" max="11230" width="15" style="2" bestFit="1" customWidth="1"/>
    <col min="11231" max="11231" width="7.21875" style="2" customWidth="1"/>
    <col min="11232" max="11232" width="10.21875" style="2" customWidth="1"/>
    <col min="11233" max="11233" width="5" style="2" bestFit="1" customWidth="1"/>
    <col min="11234" max="11234" width="8.77734375" style="2" customWidth="1"/>
    <col min="11235" max="11235" width="10.5546875" style="2" customWidth="1"/>
    <col min="11236" max="11236" width="8.77734375" style="2" customWidth="1"/>
    <col min="11237" max="11238" width="10.21875" style="2" customWidth="1"/>
    <col min="11239" max="11239" width="10.77734375" style="2" bestFit="1" customWidth="1"/>
    <col min="11240" max="11240" width="9.21875" style="2"/>
    <col min="11241" max="11242" width="8.77734375" style="2" customWidth="1"/>
    <col min="11243" max="11243" width="10.21875" style="2" bestFit="1" customWidth="1"/>
    <col min="11244" max="11244" width="14" style="2" customWidth="1"/>
    <col min="11245" max="11245" width="16.77734375" style="2" bestFit="1" customWidth="1"/>
    <col min="11246" max="11246" width="8" style="2" bestFit="1" customWidth="1"/>
    <col min="11247" max="11247" width="9" style="2" bestFit="1" customWidth="1"/>
    <col min="11248" max="11248" width="6.21875" style="2" customWidth="1"/>
    <col min="11249" max="11249" width="6.77734375" style="2" customWidth="1"/>
    <col min="11250" max="11250" width="8" style="2" customWidth="1"/>
    <col min="11251" max="11251" width="6" style="2" customWidth="1"/>
    <col min="11252" max="11252" width="7.5546875" style="2" customWidth="1"/>
    <col min="11253" max="11253" width="9.21875" style="2"/>
    <col min="11254" max="11254" width="9.21875" style="2" bestFit="1" customWidth="1"/>
    <col min="11255" max="11255" width="15.77734375" style="2" customWidth="1"/>
    <col min="11256" max="11257" width="9.77734375" style="2" customWidth="1"/>
    <col min="11258" max="11263" width="9.21875" style="2"/>
    <col min="11264" max="11264" width="9.77734375" style="2" bestFit="1" customWidth="1"/>
    <col min="11265" max="11483" width="9.21875" style="2"/>
    <col min="11484" max="11484" width="8.44140625" style="2" customWidth="1"/>
    <col min="11485" max="11485" width="12.77734375" style="2" customWidth="1"/>
    <col min="11486" max="11486" width="15" style="2" bestFit="1" customWidth="1"/>
    <col min="11487" max="11487" width="7.21875" style="2" customWidth="1"/>
    <col min="11488" max="11488" width="10.21875" style="2" customWidth="1"/>
    <col min="11489" max="11489" width="5" style="2" bestFit="1" customWidth="1"/>
    <col min="11490" max="11490" width="8.77734375" style="2" customWidth="1"/>
    <col min="11491" max="11491" width="10.5546875" style="2" customWidth="1"/>
    <col min="11492" max="11492" width="8.77734375" style="2" customWidth="1"/>
    <col min="11493" max="11494" width="10.21875" style="2" customWidth="1"/>
    <col min="11495" max="11495" width="10.77734375" style="2" bestFit="1" customWidth="1"/>
    <col min="11496" max="11496" width="9.21875" style="2"/>
    <col min="11497" max="11498" width="8.77734375" style="2" customWidth="1"/>
    <col min="11499" max="11499" width="10.21875" style="2" bestFit="1" customWidth="1"/>
    <col min="11500" max="11500" width="14" style="2" customWidth="1"/>
    <col min="11501" max="11501" width="16.77734375" style="2" bestFit="1" customWidth="1"/>
    <col min="11502" max="11502" width="8" style="2" bestFit="1" customWidth="1"/>
    <col min="11503" max="11503" width="9" style="2" bestFit="1" customWidth="1"/>
    <col min="11504" max="11504" width="6.21875" style="2" customWidth="1"/>
    <col min="11505" max="11505" width="6.77734375" style="2" customWidth="1"/>
    <col min="11506" max="11506" width="8" style="2" customWidth="1"/>
    <col min="11507" max="11507" width="6" style="2" customWidth="1"/>
    <col min="11508" max="11508" width="7.5546875" style="2" customWidth="1"/>
    <col min="11509" max="11509" width="9.21875" style="2"/>
    <col min="11510" max="11510" width="9.21875" style="2" bestFit="1" customWidth="1"/>
    <col min="11511" max="11511" width="15.77734375" style="2" customWidth="1"/>
    <col min="11512" max="11513" width="9.77734375" style="2" customWidth="1"/>
    <col min="11514" max="11519" width="9.21875" style="2"/>
    <col min="11520" max="11520" width="9.77734375" style="2" bestFit="1" customWidth="1"/>
    <col min="11521" max="11739" width="9.21875" style="2"/>
    <col min="11740" max="11740" width="8.44140625" style="2" customWidth="1"/>
    <col min="11741" max="11741" width="12.77734375" style="2" customWidth="1"/>
    <col min="11742" max="11742" width="15" style="2" bestFit="1" customWidth="1"/>
    <col min="11743" max="11743" width="7.21875" style="2" customWidth="1"/>
    <col min="11744" max="11744" width="10.21875" style="2" customWidth="1"/>
    <col min="11745" max="11745" width="5" style="2" bestFit="1" customWidth="1"/>
    <col min="11746" max="11746" width="8.77734375" style="2" customWidth="1"/>
    <col min="11747" max="11747" width="10.5546875" style="2" customWidth="1"/>
    <col min="11748" max="11748" width="8.77734375" style="2" customWidth="1"/>
    <col min="11749" max="11750" width="10.21875" style="2" customWidth="1"/>
    <col min="11751" max="11751" width="10.77734375" style="2" bestFit="1" customWidth="1"/>
    <col min="11752" max="11752" width="9.21875" style="2"/>
    <col min="11753" max="11754" width="8.77734375" style="2" customWidth="1"/>
    <col min="11755" max="11755" width="10.21875" style="2" bestFit="1" customWidth="1"/>
    <col min="11756" max="11756" width="14" style="2" customWidth="1"/>
    <col min="11757" max="11757" width="16.77734375" style="2" bestFit="1" customWidth="1"/>
    <col min="11758" max="11758" width="8" style="2" bestFit="1" customWidth="1"/>
    <col min="11759" max="11759" width="9" style="2" bestFit="1" customWidth="1"/>
    <col min="11760" max="11760" width="6.21875" style="2" customWidth="1"/>
    <col min="11761" max="11761" width="6.77734375" style="2" customWidth="1"/>
    <col min="11762" max="11762" width="8" style="2" customWidth="1"/>
    <col min="11763" max="11763" width="6" style="2" customWidth="1"/>
    <col min="11764" max="11764" width="7.5546875" style="2" customWidth="1"/>
    <col min="11765" max="11765" width="9.21875" style="2"/>
    <col min="11766" max="11766" width="9.21875" style="2" bestFit="1" customWidth="1"/>
    <col min="11767" max="11767" width="15.77734375" style="2" customWidth="1"/>
    <col min="11768" max="11769" width="9.77734375" style="2" customWidth="1"/>
    <col min="11770" max="11775" width="9.21875" style="2"/>
    <col min="11776" max="11776" width="9.77734375" style="2" bestFit="1" customWidth="1"/>
    <col min="11777" max="11995" width="9.21875" style="2"/>
    <col min="11996" max="11996" width="8.44140625" style="2" customWidth="1"/>
    <col min="11997" max="11997" width="12.77734375" style="2" customWidth="1"/>
    <col min="11998" max="11998" width="15" style="2" bestFit="1" customWidth="1"/>
    <col min="11999" max="11999" width="7.21875" style="2" customWidth="1"/>
    <col min="12000" max="12000" width="10.21875" style="2" customWidth="1"/>
    <col min="12001" max="12001" width="5" style="2" bestFit="1" customWidth="1"/>
    <col min="12002" max="12002" width="8.77734375" style="2" customWidth="1"/>
    <col min="12003" max="12003" width="10.5546875" style="2" customWidth="1"/>
    <col min="12004" max="12004" width="8.77734375" style="2" customWidth="1"/>
    <col min="12005" max="12006" width="10.21875" style="2" customWidth="1"/>
    <col min="12007" max="12007" width="10.77734375" style="2" bestFit="1" customWidth="1"/>
    <col min="12008" max="12008" width="9.21875" style="2"/>
    <col min="12009" max="12010" width="8.77734375" style="2" customWidth="1"/>
    <col min="12011" max="12011" width="10.21875" style="2" bestFit="1" customWidth="1"/>
    <col min="12012" max="12012" width="14" style="2" customWidth="1"/>
    <col min="12013" max="12013" width="16.77734375" style="2" bestFit="1" customWidth="1"/>
    <col min="12014" max="12014" width="8" style="2" bestFit="1" customWidth="1"/>
    <col min="12015" max="12015" width="9" style="2" bestFit="1" customWidth="1"/>
    <col min="12016" max="12016" width="6.21875" style="2" customWidth="1"/>
    <col min="12017" max="12017" width="6.77734375" style="2" customWidth="1"/>
    <col min="12018" max="12018" width="8" style="2" customWidth="1"/>
    <col min="12019" max="12019" width="6" style="2" customWidth="1"/>
    <col min="12020" max="12020" width="7.5546875" style="2" customWidth="1"/>
    <col min="12021" max="12021" width="9.21875" style="2"/>
    <col min="12022" max="12022" width="9.21875" style="2" bestFit="1" customWidth="1"/>
    <col min="12023" max="12023" width="15.77734375" style="2" customWidth="1"/>
    <col min="12024" max="12025" width="9.77734375" style="2" customWidth="1"/>
    <col min="12026" max="12031" width="9.21875" style="2"/>
    <col min="12032" max="12032" width="9.77734375" style="2" bestFit="1" customWidth="1"/>
    <col min="12033" max="12251" width="9.21875" style="2"/>
    <col min="12252" max="12252" width="8.44140625" style="2" customWidth="1"/>
    <col min="12253" max="12253" width="12.77734375" style="2" customWidth="1"/>
    <col min="12254" max="12254" width="15" style="2" bestFit="1" customWidth="1"/>
    <col min="12255" max="12255" width="7.21875" style="2" customWidth="1"/>
    <col min="12256" max="12256" width="10.21875" style="2" customWidth="1"/>
    <col min="12257" max="12257" width="5" style="2" bestFit="1" customWidth="1"/>
    <col min="12258" max="12258" width="8.77734375" style="2" customWidth="1"/>
    <col min="12259" max="12259" width="10.5546875" style="2" customWidth="1"/>
    <col min="12260" max="12260" width="8.77734375" style="2" customWidth="1"/>
    <col min="12261" max="12262" width="10.21875" style="2" customWidth="1"/>
    <col min="12263" max="12263" width="10.77734375" style="2" bestFit="1" customWidth="1"/>
    <col min="12264" max="12264" width="9.21875" style="2"/>
    <col min="12265" max="12266" width="8.77734375" style="2" customWidth="1"/>
    <col min="12267" max="12267" width="10.21875" style="2" bestFit="1" customWidth="1"/>
    <col min="12268" max="12268" width="14" style="2" customWidth="1"/>
    <col min="12269" max="12269" width="16.77734375" style="2" bestFit="1" customWidth="1"/>
    <col min="12270" max="12270" width="8" style="2" bestFit="1" customWidth="1"/>
    <col min="12271" max="12271" width="9" style="2" bestFit="1" customWidth="1"/>
    <col min="12272" max="12272" width="6.21875" style="2" customWidth="1"/>
    <col min="12273" max="12273" width="6.77734375" style="2" customWidth="1"/>
    <col min="12274" max="12274" width="8" style="2" customWidth="1"/>
    <col min="12275" max="12275" width="6" style="2" customWidth="1"/>
    <col min="12276" max="12276" width="7.5546875" style="2" customWidth="1"/>
    <col min="12277" max="12277" width="9.21875" style="2"/>
    <col min="12278" max="12278" width="9.21875" style="2" bestFit="1" customWidth="1"/>
    <col min="12279" max="12279" width="15.77734375" style="2" customWidth="1"/>
    <col min="12280" max="12281" width="9.77734375" style="2" customWidth="1"/>
    <col min="12282" max="12287" width="9.21875" style="2"/>
    <col min="12288" max="12288" width="9.77734375" style="2" bestFit="1" customWidth="1"/>
    <col min="12289" max="12507" width="9.21875" style="2"/>
    <col min="12508" max="12508" width="8.44140625" style="2" customWidth="1"/>
    <col min="12509" max="12509" width="12.77734375" style="2" customWidth="1"/>
    <col min="12510" max="12510" width="15" style="2" bestFit="1" customWidth="1"/>
    <col min="12511" max="12511" width="7.21875" style="2" customWidth="1"/>
    <col min="12512" max="12512" width="10.21875" style="2" customWidth="1"/>
    <col min="12513" max="12513" width="5" style="2" bestFit="1" customWidth="1"/>
    <col min="12514" max="12514" width="8.77734375" style="2" customWidth="1"/>
    <col min="12515" max="12515" width="10.5546875" style="2" customWidth="1"/>
    <col min="12516" max="12516" width="8.77734375" style="2" customWidth="1"/>
    <col min="12517" max="12518" width="10.21875" style="2" customWidth="1"/>
    <col min="12519" max="12519" width="10.77734375" style="2" bestFit="1" customWidth="1"/>
    <col min="12520" max="12520" width="9.21875" style="2"/>
    <col min="12521" max="12522" width="8.77734375" style="2" customWidth="1"/>
    <col min="12523" max="12523" width="10.21875" style="2" bestFit="1" customWidth="1"/>
    <col min="12524" max="12524" width="14" style="2" customWidth="1"/>
    <col min="12525" max="12525" width="16.77734375" style="2" bestFit="1" customWidth="1"/>
    <col min="12526" max="12526" width="8" style="2" bestFit="1" customWidth="1"/>
    <col min="12527" max="12527" width="9" style="2" bestFit="1" customWidth="1"/>
    <col min="12528" max="12528" width="6.21875" style="2" customWidth="1"/>
    <col min="12529" max="12529" width="6.77734375" style="2" customWidth="1"/>
    <col min="12530" max="12530" width="8" style="2" customWidth="1"/>
    <col min="12531" max="12531" width="6" style="2" customWidth="1"/>
    <col min="12532" max="12532" width="7.5546875" style="2" customWidth="1"/>
    <col min="12533" max="12533" width="9.21875" style="2"/>
    <col min="12534" max="12534" width="9.21875" style="2" bestFit="1" customWidth="1"/>
    <col min="12535" max="12535" width="15.77734375" style="2" customWidth="1"/>
    <col min="12536" max="12537" width="9.77734375" style="2" customWidth="1"/>
    <col min="12538" max="12543" width="9.21875" style="2"/>
    <col min="12544" max="12544" width="9.77734375" style="2" bestFit="1" customWidth="1"/>
    <col min="12545" max="12763" width="9.21875" style="2"/>
    <col min="12764" max="12764" width="8.44140625" style="2" customWidth="1"/>
    <col min="12765" max="12765" width="12.77734375" style="2" customWidth="1"/>
    <col min="12766" max="12766" width="15" style="2" bestFit="1" customWidth="1"/>
    <col min="12767" max="12767" width="7.21875" style="2" customWidth="1"/>
    <col min="12768" max="12768" width="10.21875" style="2" customWidth="1"/>
    <col min="12769" max="12769" width="5" style="2" bestFit="1" customWidth="1"/>
    <col min="12770" max="12770" width="8.77734375" style="2" customWidth="1"/>
    <col min="12771" max="12771" width="10.5546875" style="2" customWidth="1"/>
    <col min="12772" max="12772" width="8.77734375" style="2" customWidth="1"/>
    <col min="12773" max="12774" width="10.21875" style="2" customWidth="1"/>
    <col min="12775" max="12775" width="10.77734375" style="2" bestFit="1" customWidth="1"/>
    <col min="12776" max="12776" width="9.21875" style="2"/>
    <col min="12777" max="12778" width="8.77734375" style="2" customWidth="1"/>
    <col min="12779" max="12779" width="10.21875" style="2" bestFit="1" customWidth="1"/>
    <col min="12780" max="12780" width="14" style="2" customWidth="1"/>
    <col min="12781" max="12781" width="16.77734375" style="2" bestFit="1" customWidth="1"/>
    <col min="12782" max="12782" width="8" style="2" bestFit="1" customWidth="1"/>
    <col min="12783" max="12783" width="9" style="2" bestFit="1" customWidth="1"/>
    <col min="12784" max="12784" width="6.21875" style="2" customWidth="1"/>
    <col min="12785" max="12785" width="6.77734375" style="2" customWidth="1"/>
    <col min="12786" max="12786" width="8" style="2" customWidth="1"/>
    <col min="12787" max="12787" width="6" style="2" customWidth="1"/>
    <col min="12788" max="12788" width="7.5546875" style="2" customWidth="1"/>
    <col min="12789" max="12789" width="9.21875" style="2"/>
    <col min="12790" max="12790" width="9.21875" style="2" bestFit="1" customWidth="1"/>
    <col min="12791" max="12791" width="15.77734375" style="2" customWidth="1"/>
    <col min="12792" max="12793" width="9.77734375" style="2" customWidth="1"/>
    <col min="12794" max="12799" width="9.21875" style="2"/>
    <col min="12800" max="12800" width="9.77734375" style="2" bestFit="1" customWidth="1"/>
    <col min="12801" max="13019" width="9.21875" style="2"/>
    <col min="13020" max="13020" width="8.44140625" style="2" customWidth="1"/>
    <col min="13021" max="13021" width="12.77734375" style="2" customWidth="1"/>
    <col min="13022" max="13022" width="15" style="2" bestFit="1" customWidth="1"/>
    <col min="13023" max="13023" width="7.21875" style="2" customWidth="1"/>
    <col min="13024" max="13024" width="10.21875" style="2" customWidth="1"/>
    <col min="13025" max="13025" width="5" style="2" bestFit="1" customWidth="1"/>
    <col min="13026" max="13026" width="8.77734375" style="2" customWidth="1"/>
    <col min="13027" max="13027" width="10.5546875" style="2" customWidth="1"/>
    <col min="13028" max="13028" width="8.77734375" style="2" customWidth="1"/>
    <col min="13029" max="13030" width="10.21875" style="2" customWidth="1"/>
    <col min="13031" max="13031" width="10.77734375" style="2" bestFit="1" customWidth="1"/>
    <col min="13032" max="13032" width="9.21875" style="2"/>
    <col min="13033" max="13034" width="8.77734375" style="2" customWidth="1"/>
    <col min="13035" max="13035" width="10.21875" style="2" bestFit="1" customWidth="1"/>
    <col min="13036" max="13036" width="14" style="2" customWidth="1"/>
    <col min="13037" max="13037" width="16.77734375" style="2" bestFit="1" customWidth="1"/>
    <col min="13038" max="13038" width="8" style="2" bestFit="1" customWidth="1"/>
    <col min="13039" max="13039" width="9" style="2" bestFit="1" customWidth="1"/>
    <col min="13040" max="13040" width="6.21875" style="2" customWidth="1"/>
    <col min="13041" max="13041" width="6.77734375" style="2" customWidth="1"/>
    <col min="13042" max="13042" width="8" style="2" customWidth="1"/>
    <col min="13043" max="13043" width="6" style="2" customWidth="1"/>
    <col min="13044" max="13044" width="7.5546875" style="2" customWidth="1"/>
    <col min="13045" max="13045" width="9.21875" style="2"/>
    <col min="13046" max="13046" width="9.21875" style="2" bestFit="1" customWidth="1"/>
    <col min="13047" max="13047" width="15.77734375" style="2" customWidth="1"/>
    <col min="13048" max="13049" width="9.77734375" style="2" customWidth="1"/>
    <col min="13050" max="13055" width="9.21875" style="2"/>
    <col min="13056" max="13056" width="9.77734375" style="2" bestFit="1" customWidth="1"/>
    <col min="13057" max="13275" width="9.21875" style="2"/>
    <col min="13276" max="13276" width="8.44140625" style="2" customWidth="1"/>
    <col min="13277" max="13277" width="12.77734375" style="2" customWidth="1"/>
    <col min="13278" max="13278" width="15" style="2" bestFit="1" customWidth="1"/>
    <col min="13279" max="13279" width="7.21875" style="2" customWidth="1"/>
    <col min="13280" max="13280" width="10.21875" style="2" customWidth="1"/>
    <col min="13281" max="13281" width="5" style="2" bestFit="1" customWidth="1"/>
    <col min="13282" max="13282" width="8.77734375" style="2" customWidth="1"/>
    <col min="13283" max="13283" width="10.5546875" style="2" customWidth="1"/>
    <col min="13284" max="13284" width="8.77734375" style="2" customWidth="1"/>
    <col min="13285" max="13286" width="10.21875" style="2" customWidth="1"/>
    <col min="13287" max="13287" width="10.77734375" style="2" bestFit="1" customWidth="1"/>
    <col min="13288" max="13288" width="9.21875" style="2"/>
    <col min="13289" max="13290" width="8.77734375" style="2" customWidth="1"/>
    <col min="13291" max="13291" width="10.21875" style="2" bestFit="1" customWidth="1"/>
    <col min="13292" max="13292" width="14" style="2" customWidth="1"/>
    <col min="13293" max="13293" width="16.77734375" style="2" bestFit="1" customWidth="1"/>
    <col min="13294" max="13294" width="8" style="2" bestFit="1" customWidth="1"/>
    <col min="13295" max="13295" width="9" style="2" bestFit="1" customWidth="1"/>
    <col min="13296" max="13296" width="6.21875" style="2" customWidth="1"/>
    <col min="13297" max="13297" width="6.77734375" style="2" customWidth="1"/>
    <col min="13298" max="13298" width="8" style="2" customWidth="1"/>
    <col min="13299" max="13299" width="6" style="2" customWidth="1"/>
    <col min="13300" max="13300" width="7.5546875" style="2" customWidth="1"/>
    <col min="13301" max="13301" width="9.21875" style="2"/>
    <col min="13302" max="13302" width="9.21875" style="2" bestFit="1" customWidth="1"/>
    <col min="13303" max="13303" width="15.77734375" style="2" customWidth="1"/>
    <col min="13304" max="13305" width="9.77734375" style="2" customWidth="1"/>
    <col min="13306" max="13311" width="9.21875" style="2"/>
    <col min="13312" max="13312" width="9.77734375" style="2" bestFit="1" customWidth="1"/>
    <col min="13313" max="13531" width="9.21875" style="2"/>
    <col min="13532" max="13532" width="8.44140625" style="2" customWidth="1"/>
    <col min="13533" max="13533" width="12.77734375" style="2" customWidth="1"/>
    <col min="13534" max="13534" width="15" style="2" bestFit="1" customWidth="1"/>
    <col min="13535" max="13535" width="7.21875" style="2" customWidth="1"/>
    <col min="13536" max="13536" width="10.21875" style="2" customWidth="1"/>
    <col min="13537" max="13537" width="5" style="2" bestFit="1" customWidth="1"/>
    <col min="13538" max="13538" width="8.77734375" style="2" customWidth="1"/>
    <col min="13539" max="13539" width="10.5546875" style="2" customWidth="1"/>
    <col min="13540" max="13540" width="8.77734375" style="2" customWidth="1"/>
    <col min="13541" max="13542" width="10.21875" style="2" customWidth="1"/>
    <col min="13543" max="13543" width="10.77734375" style="2" bestFit="1" customWidth="1"/>
    <col min="13544" max="13544" width="9.21875" style="2"/>
    <col min="13545" max="13546" width="8.77734375" style="2" customWidth="1"/>
    <col min="13547" max="13547" width="10.21875" style="2" bestFit="1" customWidth="1"/>
    <col min="13548" max="13548" width="14" style="2" customWidth="1"/>
    <col min="13549" max="13549" width="16.77734375" style="2" bestFit="1" customWidth="1"/>
    <col min="13550" max="13550" width="8" style="2" bestFit="1" customWidth="1"/>
    <col min="13551" max="13551" width="9" style="2" bestFit="1" customWidth="1"/>
    <col min="13552" max="13552" width="6.21875" style="2" customWidth="1"/>
    <col min="13553" max="13553" width="6.77734375" style="2" customWidth="1"/>
    <col min="13554" max="13554" width="8" style="2" customWidth="1"/>
    <col min="13555" max="13555" width="6" style="2" customWidth="1"/>
    <col min="13556" max="13556" width="7.5546875" style="2" customWidth="1"/>
    <col min="13557" max="13557" width="9.21875" style="2"/>
    <col min="13558" max="13558" width="9.21875" style="2" bestFit="1" customWidth="1"/>
    <col min="13559" max="13559" width="15.77734375" style="2" customWidth="1"/>
    <col min="13560" max="13561" width="9.77734375" style="2" customWidth="1"/>
    <col min="13562" max="13567" width="9.21875" style="2"/>
    <col min="13568" max="13568" width="9.77734375" style="2" bestFit="1" customWidth="1"/>
    <col min="13569" max="13787" width="9.21875" style="2"/>
    <col min="13788" max="13788" width="8.44140625" style="2" customWidth="1"/>
    <col min="13789" max="13789" width="12.77734375" style="2" customWidth="1"/>
    <col min="13790" max="13790" width="15" style="2" bestFit="1" customWidth="1"/>
    <col min="13791" max="13791" width="7.21875" style="2" customWidth="1"/>
    <col min="13792" max="13792" width="10.21875" style="2" customWidth="1"/>
    <col min="13793" max="13793" width="5" style="2" bestFit="1" customWidth="1"/>
    <col min="13794" max="13794" width="8.77734375" style="2" customWidth="1"/>
    <col min="13795" max="13795" width="10.5546875" style="2" customWidth="1"/>
    <col min="13796" max="13796" width="8.77734375" style="2" customWidth="1"/>
    <col min="13797" max="13798" width="10.21875" style="2" customWidth="1"/>
    <col min="13799" max="13799" width="10.77734375" style="2" bestFit="1" customWidth="1"/>
    <col min="13800" max="13800" width="9.21875" style="2"/>
    <col min="13801" max="13802" width="8.77734375" style="2" customWidth="1"/>
    <col min="13803" max="13803" width="10.21875" style="2" bestFit="1" customWidth="1"/>
    <col min="13804" max="13804" width="14" style="2" customWidth="1"/>
    <col min="13805" max="13805" width="16.77734375" style="2" bestFit="1" customWidth="1"/>
    <col min="13806" max="13806" width="8" style="2" bestFit="1" customWidth="1"/>
    <col min="13807" max="13807" width="9" style="2" bestFit="1" customWidth="1"/>
    <col min="13808" max="13808" width="6.21875" style="2" customWidth="1"/>
    <col min="13809" max="13809" width="6.77734375" style="2" customWidth="1"/>
    <col min="13810" max="13810" width="8" style="2" customWidth="1"/>
    <col min="13811" max="13811" width="6" style="2" customWidth="1"/>
    <col min="13812" max="13812" width="7.5546875" style="2" customWidth="1"/>
    <col min="13813" max="13813" width="9.21875" style="2"/>
    <col min="13814" max="13814" width="9.21875" style="2" bestFit="1" customWidth="1"/>
    <col min="13815" max="13815" width="15.77734375" style="2" customWidth="1"/>
    <col min="13816" max="13817" width="9.77734375" style="2" customWidth="1"/>
    <col min="13818" max="13823" width="9.21875" style="2"/>
    <col min="13824" max="13824" width="9.77734375" style="2" bestFit="1" customWidth="1"/>
    <col min="13825" max="14043" width="9.21875" style="2"/>
    <col min="14044" max="14044" width="8.44140625" style="2" customWidth="1"/>
    <col min="14045" max="14045" width="12.77734375" style="2" customWidth="1"/>
    <col min="14046" max="14046" width="15" style="2" bestFit="1" customWidth="1"/>
    <col min="14047" max="14047" width="7.21875" style="2" customWidth="1"/>
    <col min="14048" max="14048" width="10.21875" style="2" customWidth="1"/>
    <col min="14049" max="14049" width="5" style="2" bestFit="1" customWidth="1"/>
    <col min="14050" max="14050" width="8.77734375" style="2" customWidth="1"/>
    <col min="14051" max="14051" width="10.5546875" style="2" customWidth="1"/>
    <col min="14052" max="14052" width="8.77734375" style="2" customWidth="1"/>
    <col min="14053" max="14054" width="10.21875" style="2" customWidth="1"/>
    <col min="14055" max="14055" width="10.77734375" style="2" bestFit="1" customWidth="1"/>
    <col min="14056" max="14056" width="9.21875" style="2"/>
    <col min="14057" max="14058" width="8.77734375" style="2" customWidth="1"/>
    <col min="14059" max="14059" width="10.21875" style="2" bestFit="1" customWidth="1"/>
    <col min="14060" max="14060" width="14" style="2" customWidth="1"/>
    <col min="14061" max="14061" width="16.77734375" style="2" bestFit="1" customWidth="1"/>
    <col min="14062" max="14062" width="8" style="2" bestFit="1" customWidth="1"/>
    <col min="14063" max="14063" width="9" style="2" bestFit="1" customWidth="1"/>
    <col min="14064" max="14064" width="6.21875" style="2" customWidth="1"/>
    <col min="14065" max="14065" width="6.77734375" style="2" customWidth="1"/>
    <col min="14066" max="14066" width="8" style="2" customWidth="1"/>
    <col min="14067" max="14067" width="6" style="2" customWidth="1"/>
    <col min="14068" max="14068" width="7.5546875" style="2" customWidth="1"/>
    <col min="14069" max="14069" width="9.21875" style="2"/>
    <col min="14070" max="14070" width="9.21875" style="2" bestFit="1" customWidth="1"/>
    <col min="14071" max="14071" width="15.77734375" style="2" customWidth="1"/>
    <col min="14072" max="14073" width="9.77734375" style="2" customWidth="1"/>
    <col min="14074" max="14079" width="9.21875" style="2"/>
    <col min="14080" max="14080" width="9.77734375" style="2" bestFit="1" customWidth="1"/>
    <col min="14081" max="14299" width="9.21875" style="2"/>
    <col min="14300" max="14300" width="8.44140625" style="2" customWidth="1"/>
    <col min="14301" max="14301" width="12.77734375" style="2" customWidth="1"/>
    <col min="14302" max="14302" width="15" style="2" bestFit="1" customWidth="1"/>
    <col min="14303" max="14303" width="7.21875" style="2" customWidth="1"/>
    <col min="14304" max="14304" width="10.21875" style="2" customWidth="1"/>
    <col min="14305" max="14305" width="5" style="2" bestFit="1" customWidth="1"/>
    <col min="14306" max="14306" width="8.77734375" style="2" customWidth="1"/>
    <col min="14307" max="14307" width="10.5546875" style="2" customWidth="1"/>
    <col min="14308" max="14308" width="8.77734375" style="2" customWidth="1"/>
    <col min="14309" max="14310" width="10.21875" style="2" customWidth="1"/>
    <col min="14311" max="14311" width="10.77734375" style="2" bestFit="1" customWidth="1"/>
    <col min="14312" max="14312" width="9.21875" style="2"/>
    <col min="14313" max="14314" width="8.77734375" style="2" customWidth="1"/>
    <col min="14315" max="14315" width="10.21875" style="2" bestFit="1" customWidth="1"/>
    <col min="14316" max="14316" width="14" style="2" customWidth="1"/>
    <col min="14317" max="14317" width="16.77734375" style="2" bestFit="1" customWidth="1"/>
    <col min="14318" max="14318" width="8" style="2" bestFit="1" customWidth="1"/>
    <col min="14319" max="14319" width="9" style="2" bestFit="1" customWidth="1"/>
    <col min="14320" max="14320" width="6.21875" style="2" customWidth="1"/>
    <col min="14321" max="14321" width="6.77734375" style="2" customWidth="1"/>
    <col min="14322" max="14322" width="8" style="2" customWidth="1"/>
    <col min="14323" max="14323" width="6" style="2" customWidth="1"/>
    <col min="14324" max="14324" width="7.5546875" style="2" customWidth="1"/>
    <col min="14325" max="14325" width="9.21875" style="2"/>
    <col min="14326" max="14326" width="9.21875" style="2" bestFit="1" customWidth="1"/>
    <col min="14327" max="14327" width="15.77734375" style="2" customWidth="1"/>
    <col min="14328" max="14329" width="9.77734375" style="2" customWidth="1"/>
    <col min="14330" max="14335" width="9.21875" style="2"/>
    <col min="14336" max="14336" width="9.77734375" style="2" bestFit="1" customWidth="1"/>
    <col min="14337" max="14555" width="9.21875" style="2"/>
    <col min="14556" max="14556" width="8.44140625" style="2" customWidth="1"/>
    <col min="14557" max="14557" width="12.77734375" style="2" customWidth="1"/>
    <col min="14558" max="14558" width="15" style="2" bestFit="1" customWidth="1"/>
    <col min="14559" max="14559" width="7.21875" style="2" customWidth="1"/>
    <col min="14560" max="14560" width="10.21875" style="2" customWidth="1"/>
    <col min="14561" max="14561" width="5" style="2" bestFit="1" customWidth="1"/>
    <col min="14562" max="14562" width="8.77734375" style="2" customWidth="1"/>
    <col min="14563" max="14563" width="10.5546875" style="2" customWidth="1"/>
    <col min="14564" max="14564" width="8.77734375" style="2" customWidth="1"/>
    <col min="14565" max="14566" width="10.21875" style="2" customWidth="1"/>
    <col min="14567" max="14567" width="10.77734375" style="2" bestFit="1" customWidth="1"/>
    <col min="14568" max="14568" width="9.21875" style="2"/>
    <col min="14569" max="14570" width="8.77734375" style="2" customWidth="1"/>
    <col min="14571" max="14571" width="10.21875" style="2" bestFit="1" customWidth="1"/>
    <col min="14572" max="14572" width="14" style="2" customWidth="1"/>
    <col min="14573" max="14573" width="16.77734375" style="2" bestFit="1" customWidth="1"/>
    <col min="14574" max="14574" width="8" style="2" bestFit="1" customWidth="1"/>
    <col min="14575" max="14575" width="9" style="2" bestFit="1" customWidth="1"/>
    <col min="14576" max="14576" width="6.21875" style="2" customWidth="1"/>
    <col min="14577" max="14577" width="6.77734375" style="2" customWidth="1"/>
    <col min="14578" max="14578" width="8" style="2" customWidth="1"/>
    <col min="14579" max="14579" width="6" style="2" customWidth="1"/>
    <col min="14580" max="14580" width="7.5546875" style="2" customWidth="1"/>
    <col min="14581" max="14581" width="9.21875" style="2"/>
    <col min="14582" max="14582" width="9.21875" style="2" bestFit="1" customWidth="1"/>
    <col min="14583" max="14583" width="15.77734375" style="2" customWidth="1"/>
    <col min="14584" max="14585" width="9.77734375" style="2" customWidth="1"/>
    <col min="14586" max="14591" width="9.21875" style="2"/>
    <col min="14592" max="14592" width="9.77734375" style="2" bestFit="1" customWidth="1"/>
    <col min="14593" max="14811" width="9.21875" style="2"/>
    <col min="14812" max="14812" width="8.44140625" style="2" customWidth="1"/>
    <col min="14813" max="14813" width="12.77734375" style="2" customWidth="1"/>
    <col min="14814" max="14814" width="15" style="2" bestFit="1" customWidth="1"/>
    <col min="14815" max="14815" width="7.21875" style="2" customWidth="1"/>
    <col min="14816" max="14816" width="10.21875" style="2" customWidth="1"/>
    <col min="14817" max="14817" width="5" style="2" bestFit="1" customWidth="1"/>
    <col min="14818" max="14818" width="8.77734375" style="2" customWidth="1"/>
    <col min="14819" max="14819" width="10.5546875" style="2" customWidth="1"/>
    <col min="14820" max="14820" width="8.77734375" style="2" customWidth="1"/>
    <col min="14821" max="14822" width="10.21875" style="2" customWidth="1"/>
    <col min="14823" max="14823" width="10.77734375" style="2" bestFit="1" customWidth="1"/>
    <col min="14824" max="14824" width="9.21875" style="2"/>
    <col min="14825" max="14826" width="8.77734375" style="2" customWidth="1"/>
    <col min="14827" max="14827" width="10.21875" style="2" bestFit="1" customWidth="1"/>
    <col min="14828" max="14828" width="14" style="2" customWidth="1"/>
    <col min="14829" max="14829" width="16.77734375" style="2" bestFit="1" customWidth="1"/>
    <col min="14830" max="14830" width="8" style="2" bestFit="1" customWidth="1"/>
    <col min="14831" max="14831" width="9" style="2" bestFit="1" customWidth="1"/>
    <col min="14832" max="14832" width="6.21875" style="2" customWidth="1"/>
    <col min="14833" max="14833" width="6.77734375" style="2" customWidth="1"/>
    <col min="14834" max="14834" width="8" style="2" customWidth="1"/>
    <col min="14835" max="14835" width="6" style="2" customWidth="1"/>
    <col min="14836" max="14836" width="7.5546875" style="2" customWidth="1"/>
    <col min="14837" max="14837" width="9.21875" style="2"/>
    <col min="14838" max="14838" width="9.21875" style="2" bestFit="1" customWidth="1"/>
    <col min="14839" max="14839" width="15.77734375" style="2" customWidth="1"/>
    <col min="14840" max="14841" width="9.77734375" style="2" customWidth="1"/>
    <col min="14842" max="14847" width="9.21875" style="2"/>
    <col min="14848" max="14848" width="9.77734375" style="2" bestFit="1" customWidth="1"/>
    <col min="14849" max="15067" width="9.21875" style="2"/>
    <col min="15068" max="15068" width="8.44140625" style="2" customWidth="1"/>
    <col min="15069" max="15069" width="12.77734375" style="2" customWidth="1"/>
    <col min="15070" max="15070" width="15" style="2" bestFit="1" customWidth="1"/>
    <col min="15071" max="15071" width="7.21875" style="2" customWidth="1"/>
    <col min="15072" max="15072" width="10.21875" style="2" customWidth="1"/>
    <col min="15073" max="15073" width="5" style="2" bestFit="1" customWidth="1"/>
    <col min="15074" max="15074" width="8.77734375" style="2" customWidth="1"/>
    <col min="15075" max="15075" width="10.5546875" style="2" customWidth="1"/>
    <col min="15076" max="15076" width="8.77734375" style="2" customWidth="1"/>
    <col min="15077" max="15078" width="10.21875" style="2" customWidth="1"/>
    <col min="15079" max="15079" width="10.77734375" style="2" bestFit="1" customWidth="1"/>
    <col min="15080" max="15080" width="9.21875" style="2"/>
    <col min="15081" max="15082" width="8.77734375" style="2" customWidth="1"/>
    <col min="15083" max="15083" width="10.21875" style="2" bestFit="1" customWidth="1"/>
    <col min="15084" max="15084" width="14" style="2" customWidth="1"/>
    <col min="15085" max="15085" width="16.77734375" style="2" bestFit="1" customWidth="1"/>
    <col min="15086" max="15086" width="8" style="2" bestFit="1" customWidth="1"/>
    <col min="15087" max="15087" width="9" style="2" bestFit="1" customWidth="1"/>
    <col min="15088" max="15088" width="6.21875" style="2" customWidth="1"/>
    <col min="15089" max="15089" width="6.77734375" style="2" customWidth="1"/>
    <col min="15090" max="15090" width="8" style="2" customWidth="1"/>
    <col min="15091" max="15091" width="6" style="2" customWidth="1"/>
    <col min="15092" max="15092" width="7.5546875" style="2" customWidth="1"/>
    <col min="15093" max="15093" width="9.21875" style="2"/>
    <col min="15094" max="15094" width="9.21875" style="2" bestFit="1" customWidth="1"/>
    <col min="15095" max="15095" width="15.77734375" style="2" customWidth="1"/>
    <col min="15096" max="15097" width="9.77734375" style="2" customWidth="1"/>
    <col min="15098" max="15103" width="9.21875" style="2"/>
    <col min="15104" max="15104" width="9.77734375" style="2" bestFit="1" customWidth="1"/>
    <col min="15105" max="15323" width="9.21875" style="2"/>
    <col min="15324" max="15324" width="8.44140625" style="2" customWidth="1"/>
    <col min="15325" max="15325" width="12.77734375" style="2" customWidth="1"/>
    <col min="15326" max="15326" width="15" style="2" bestFit="1" customWidth="1"/>
    <col min="15327" max="15327" width="7.21875" style="2" customWidth="1"/>
    <col min="15328" max="15328" width="10.21875" style="2" customWidth="1"/>
    <col min="15329" max="15329" width="5" style="2" bestFit="1" customWidth="1"/>
    <col min="15330" max="15330" width="8.77734375" style="2" customWidth="1"/>
    <col min="15331" max="15331" width="10.5546875" style="2" customWidth="1"/>
    <col min="15332" max="15332" width="8.77734375" style="2" customWidth="1"/>
    <col min="15333" max="15334" width="10.21875" style="2" customWidth="1"/>
    <col min="15335" max="15335" width="10.77734375" style="2" bestFit="1" customWidth="1"/>
    <col min="15336" max="15336" width="9.21875" style="2"/>
    <col min="15337" max="15338" width="8.77734375" style="2" customWidth="1"/>
    <col min="15339" max="15339" width="10.21875" style="2" bestFit="1" customWidth="1"/>
    <col min="15340" max="15340" width="14" style="2" customWidth="1"/>
    <col min="15341" max="15341" width="16.77734375" style="2" bestFit="1" customWidth="1"/>
    <col min="15342" max="15342" width="8" style="2" bestFit="1" customWidth="1"/>
    <col min="15343" max="15343" width="9" style="2" bestFit="1" customWidth="1"/>
    <col min="15344" max="15344" width="6.21875" style="2" customWidth="1"/>
    <col min="15345" max="15345" width="6.77734375" style="2" customWidth="1"/>
    <col min="15346" max="15346" width="8" style="2" customWidth="1"/>
    <col min="15347" max="15347" width="6" style="2" customWidth="1"/>
    <col min="15348" max="15348" width="7.5546875" style="2" customWidth="1"/>
    <col min="15349" max="15349" width="9.21875" style="2"/>
    <col min="15350" max="15350" width="9.21875" style="2" bestFit="1" customWidth="1"/>
    <col min="15351" max="15351" width="15.77734375" style="2" customWidth="1"/>
    <col min="15352" max="15353" width="9.77734375" style="2" customWidth="1"/>
    <col min="15354" max="15359" width="9.21875" style="2"/>
    <col min="15360" max="15360" width="9.77734375" style="2" bestFit="1" customWidth="1"/>
    <col min="15361" max="15579" width="9.21875" style="2"/>
    <col min="15580" max="15580" width="8.44140625" style="2" customWidth="1"/>
    <col min="15581" max="15581" width="12.77734375" style="2" customWidth="1"/>
    <col min="15582" max="15582" width="15" style="2" bestFit="1" customWidth="1"/>
    <col min="15583" max="15583" width="7.21875" style="2" customWidth="1"/>
    <col min="15584" max="15584" width="10.21875" style="2" customWidth="1"/>
    <col min="15585" max="15585" width="5" style="2" bestFit="1" customWidth="1"/>
    <col min="15586" max="15586" width="8.77734375" style="2" customWidth="1"/>
    <col min="15587" max="15587" width="10.5546875" style="2" customWidth="1"/>
    <col min="15588" max="15588" width="8.77734375" style="2" customWidth="1"/>
    <col min="15589" max="15590" width="10.21875" style="2" customWidth="1"/>
    <col min="15591" max="15591" width="10.77734375" style="2" bestFit="1" customWidth="1"/>
    <col min="15592" max="15592" width="9.21875" style="2"/>
    <col min="15593" max="15594" width="8.77734375" style="2" customWidth="1"/>
    <col min="15595" max="15595" width="10.21875" style="2" bestFit="1" customWidth="1"/>
    <col min="15596" max="15596" width="14" style="2" customWidth="1"/>
    <col min="15597" max="15597" width="16.77734375" style="2" bestFit="1" customWidth="1"/>
    <col min="15598" max="15598" width="8" style="2" bestFit="1" customWidth="1"/>
    <col min="15599" max="15599" width="9" style="2" bestFit="1" customWidth="1"/>
    <col min="15600" max="15600" width="6.21875" style="2" customWidth="1"/>
    <col min="15601" max="15601" width="6.77734375" style="2" customWidth="1"/>
    <col min="15602" max="15602" width="8" style="2" customWidth="1"/>
    <col min="15603" max="15603" width="6" style="2" customWidth="1"/>
    <col min="15604" max="15604" width="7.5546875" style="2" customWidth="1"/>
    <col min="15605" max="15605" width="9.21875" style="2"/>
    <col min="15606" max="15606" width="9.21875" style="2" bestFit="1" customWidth="1"/>
    <col min="15607" max="15607" width="15.77734375" style="2" customWidth="1"/>
    <col min="15608" max="15609" width="9.77734375" style="2" customWidth="1"/>
    <col min="15610" max="15615" width="9.21875" style="2"/>
    <col min="15616" max="15616" width="9.77734375" style="2" bestFit="1" customWidth="1"/>
    <col min="15617" max="15835" width="9.21875" style="2"/>
    <col min="15836" max="15836" width="8.44140625" style="2" customWidth="1"/>
    <col min="15837" max="15837" width="12.77734375" style="2" customWidth="1"/>
    <col min="15838" max="15838" width="15" style="2" bestFit="1" customWidth="1"/>
    <col min="15839" max="15839" width="7.21875" style="2" customWidth="1"/>
    <col min="15840" max="15840" width="10.21875" style="2" customWidth="1"/>
    <col min="15841" max="15841" width="5" style="2" bestFit="1" customWidth="1"/>
    <col min="15842" max="15842" width="8.77734375" style="2" customWidth="1"/>
    <col min="15843" max="15843" width="10.5546875" style="2" customWidth="1"/>
    <col min="15844" max="15844" width="8.77734375" style="2" customWidth="1"/>
    <col min="15845" max="15846" width="10.21875" style="2" customWidth="1"/>
    <col min="15847" max="15847" width="10.77734375" style="2" bestFit="1" customWidth="1"/>
    <col min="15848" max="15848" width="9.21875" style="2"/>
    <col min="15849" max="15850" width="8.77734375" style="2" customWidth="1"/>
    <col min="15851" max="15851" width="10.21875" style="2" bestFit="1" customWidth="1"/>
    <col min="15852" max="15852" width="14" style="2" customWidth="1"/>
    <col min="15853" max="15853" width="16.77734375" style="2" bestFit="1" customWidth="1"/>
    <col min="15854" max="15854" width="8" style="2" bestFit="1" customWidth="1"/>
    <col min="15855" max="15855" width="9" style="2" bestFit="1" customWidth="1"/>
    <col min="15856" max="15856" width="6.21875" style="2" customWidth="1"/>
    <col min="15857" max="15857" width="6.77734375" style="2" customWidth="1"/>
    <col min="15858" max="15858" width="8" style="2" customWidth="1"/>
    <col min="15859" max="15859" width="6" style="2" customWidth="1"/>
    <col min="15860" max="15860" width="7.5546875" style="2" customWidth="1"/>
    <col min="15861" max="15861" width="9.21875" style="2"/>
    <col min="15862" max="15862" width="9.21875" style="2" bestFit="1" customWidth="1"/>
    <col min="15863" max="15863" width="15.77734375" style="2" customWidth="1"/>
    <col min="15864" max="15865" width="9.77734375" style="2" customWidth="1"/>
    <col min="15866" max="15871" width="9.21875" style="2"/>
    <col min="15872" max="15872" width="9.77734375" style="2" bestFit="1" customWidth="1"/>
    <col min="15873" max="16091" width="9.21875" style="2"/>
    <col min="16092" max="16092" width="8.44140625" style="2" customWidth="1"/>
    <col min="16093" max="16093" width="12.77734375" style="2" customWidth="1"/>
    <col min="16094" max="16094" width="15" style="2" bestFit="1" customWidth="1"/>
    <col min="16095" max="16095" width="7.21875" style="2" customWidth="1"/>
    <col min="16096" max="16096" width="10.21875" style="2" customWidth="1"/>
    <col min="16097" max="16097" width="5" style="2" bestFit="1" customWidth="1"/>
    <col min="16098" max="16098" width="8.77734375" style="2" customWidth="1"/>
    <col min="16099" max="16099" width="10.5546875" style="2" customWidth="1"/>
    <col min="16100" max="16100" width="8.77734375" style="2" customWidth="1"/>
    <col min="16101" max="16102" width="10.21875" style="2" customWidth="1"/>
    <col min="16103" max="16103" width="10.77734375" style="2" bestFit="1" customWidth="1"/>
    <col min="16104" max="16104" width="9.21875" style="2"/>
    <col min="16105" max="16106" width="8.77734375" style="2" customWidth="1"/>
    <col min="16107" max="16107" width="10.21875" style="2" bestFit="1" customWidth="1"/>
    <col min="16108" max="16108" width="14" style="2" customWidth="1"/>
    <col min="16109" max="16109" width="16.77734375" style="2" bestFit="1" customWidth="1"/>
    <col min="16110" max="16110" width="8" style="2" bestFit="1" customWidth="1"/>
    <col min="16111" max="16111" width="9" style="2" bestFit="1" customWidth="1"/>
    <col min="16112" max="16112" width="6.21875" style="2" customWidth="1"/>
    <col min="16113" max="16113" width="6.77734375" style="2" customWidth="1"/>
    <col min="16114" max="16114" width="8" style="2" customWidth="1"/>
    <col min="16115" max="16115" width="6" style="2" customWidth="1"/>
    <col min="16116" max="16116" width="7.5546875" style="2" customWidth="1"/>
    <col min="16117" max="16117" width="9.21875" style="2"/>
    <col min="16118" max="16118" width="9.21875" style="2" bestFit="1" customWidth="1"/>
    <col min="16119" max="16119" width="15.77734375" style="2" customWidth="1"/>
    <col min="16120" max="16121" width="9.77734375" style="2" customWidth="1"/>
    <col min="16122" max="16127" width="9.21875" style="2"/>
    <col min="16128" max="16128" width="9.77734375" style="2" bestFit="1" customWidth="1"/>
    <col min="16129" max="16384" width="9.21875" style="2"/>
  </cols>
  <sheetData>
    <row r="1" spans="1:14" x14ac:dyDescent="0.3">
      <c r="A1" s="161" t="s">
        <v>29</v>
      </c>
      <c r="B1" s="161"/>
      <c r="C1" s="161"/>
      <c r="D1" s="161"/>
      <c r="E1" s="161"/>
      <c r="F1" s="161"/>
      <c r="G1" s="161"/>
      <c r="H1" s="161"/>
    </row>
    <row r="2" spans="1:14" x14ac:dyDescent="0.3">
      <c r="A2" s="161" t="s">
        <v>30</v>
      </c>
      <c r="B2" s="161"/>
      <c r="C2" s="161"/>
      <c r="D2" s="161"/>
      <c r="E2" s="161"/>
      <c r="F2" s="161"/>
      <c r="G2" s="161"/>
      <c r="H2" s="161"/>
    </row>
    <row r="3" spans="1:14" ht="13.8" thickBot="1" x14ac:dyDescent="0.35">
      <c r="A3" s="161" t="s">
        <v>31</v>
      </c>
      <c r="B3" s="161"/>
      <c r="C3" s="161"/>
      <c r="D3" s="161"/>
      <c r="E3" s="161"/>
      <c r="F3" s="161"/>
      <c r="G3" s="161"/>
      <c r="H3" s="161"/>
    </row>
    <row r="4" spans="1:14" s="17" customFormat="1" ht="13.8" thickBot="1" x14ac:dyDescent="0.35">
      <c r="A4" s="162" t="s">
        <v>32</v>
      </c>
      <c r="B4" s="163"/>
      <c r="C4" s="163"/>
      <c r="D4" s="163"/>
      <c r="E4" s="163"/>
      <c r="F4" s="163"/>
      <c r="G4" s="163"/>
      <c r="H4" s="163"/>
      <c r="K4" s="147"/>
      <c r="L4" s="147"/>
      <c r="M4" s="147"/>
      <c r="N4" s="147"/>
    </row>
    <row r="5" spans="1:14" x14ac:dyDescent="0.3">
      <c r="A5" s="166" t="s">
        <v>35</v>
      </c>
      <c r="B5" s="167"/>
      <c r="C5" s="167"/>
      <c r="D5" s="167"/>
      <c r="E5" s="167"/>
      <c r="F5" s="167"/>
      <c r="G5" s="167"/>
      <c r="H5" s="167"/>
      <c r="I5" s="40"/>
    </row>
    <row r="6" spans="1:14" x14ac:dyDescent="0.3">
      <c r="A6" s="169"/>
      <c r="B6" s="170"/>
      <c r="C6" s="170"/>
      <c r="D6" s="170"/>
      <c r="E6" s="170"/>
      <c r="F6" s="170"/>
      <c r="G6" s="170"/>
      <c r="H6" s="170"/>
      <c r="I6" s="40"/>
    </row>
    <row r="7" spans="1:14" x14ac:dyDescent="0.3">
      <c r="A7" s="169"/>
      <c r="B7" s="170"/>
      <c r="C7" s="170"/>
      <c r="D7" s="170"/>
      <c r="E7" s="170"/>
      <c r="F7" s="170"/>
      <c r="G7" s="170"/>
      <c r="H7" s="170"/>
      <c r="I7" s="40"/>
    </row>
    <row r="8" spans="1:14" x14ac:dyDescent="0.3">
      <c r="A8" s="169"/>
      <c r="B8" s="170"/>
      <c r="C8" s="170"/>
      <c r="D8" s="170"/>
      <c r="E8" s="170"/>
      <c r="F8" s="170"/>
      <c r="G8" s="170"/>
      <c r="H8" s="170"/>
      <c r="I8" s="40"/>
    </row>
    <row r="9" spans="1:14" ht="17.399999999999999" x14ac:dyDescent="0.3">
      <c r="A9" s="204" t="s">
        <v>136</v>
      </c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</row>
    <row r="10" spans="1:14" ht="39.6" x14ac:dyDescent="0.3">
      <c r="A10" s="3" t="s">
        <v>37</v>
      </c>
      <c r="B10" s="3" t="s">
        <v>38</v>
      </c>
      <c r="C10" s="4" t="s">
        <v>39</v>
      </c>
      <c r="D10" s="4" t="s">
        <v>40</v>
      </c>
      <c r="E10" s="4" t="s">
        <v>93</v>
      </c>
      <c r="F10" s="4" t="s">
        <v>27</v>
      </c>
      <c r="G10" s="129" t="s">
        <v>101</v>
      </c>
      <c r="H10" s="45" t="s">
        <v>41</v>
      </c>
      <c r="I10" s="45" t="s">
        <v>112</v>
      </c>
      <c r="J10" s="45" t="s">
        <v>108</v>
      </c>
      <c r="K10" s="148" t="s">
        <v>8</v>
      </c>
      <c r="L10" s="148" t="s">
        <v>109</v>
      </c>
      <c r="M10" s="148" t="s">
        <v>110</v>
      </c>
      <c r="N10" s="129" t="s">
        <v>111</v>
      </c>
    </row>
    <row r="11" spans="1:14" x14ac:dyDescent="0.3">
      <c r="A11" s="3">
        <v>7</v>
      </c>
      <c r="B11" s="3">
        <v>8</v>
      </c>
      <c r="C11" s="3">
        <v>9</v>
      </c>
      <c r="D11" s="4">
        <v>10</v>
      </c>
      <c r="E11" s="4"/>
      <c r="F11" s="4"/>
      <c r="G11" s="129"/>
      <c r="H11" s="45">
        <v>11</v>
      </c>
      <c r="I11" s="45"/>
      <c r="J11" s="6"/>
      <c r="K11" s="131"/>
      <c r="L11" s="131"/>
      <c r="M11" s="131"/>
      <c r="N11" s="131"/>
    </row>
    <row r="12" spans="1:14" x14ac:dyDescent="0.3">
      <c r="A12" s="3"/>
      <c r="B12" s="3"/>
      <c r="C12" s="3"/>
      <c r="D12" s="4"/>
      <c r="E12" s="4"/>
      <c r="F12" s="4"/>
      <c r="G12" s="129"/>
      <c r="H12" s="45"/>
      <c r="I12" s="45"/>
      <c r="J12" s="6"/>
      <c r="K12" s="131"/>
      <c r="L12" s="131"/>
      <c r="M12" s="131"/>
      <c r="N12" s="131"/>
    </row>
    <row r="13" spans="1:14" x14ac:dyDescent="0.3">
      <c r="A13" s="6">
        <v>1</v>
      </c>
      <c r="B13" s="48" t="s">
        <v>69</v>
      </c>
      <c r="C13" s="8"/>
      <c r="D13" s="6"/>
      <c r="E13" s="6"/>
      <c r="F13" s="6"/>
      <c r="G13" s="130"/>
      <c r="H13" s="47">
        <v>44197</v>
      </c>
      <c r="I13" s="49" t="s">
        <v>113</v>
      </c>
      <c r="J13" s="6"/>
      <c r="K13" s="131"/>
      <c r="L13" s="131"/>
      <c r="M13" s="131"/>
      <c r="N13" s="131"/>
    </row>
    <row r="14" spans="1:14" x14ac:dyDescent="0.3">
      <c r="A14" s="6">
        <v>2</v>
      </c>
      <c r="B14" s="48" t="s">
        <v>70</v>
      </c>
      <c r="C14" s="8"/>
      <c r="D14" s="6"/>
      <c r="E14" s="6"/>
      <c r="F14" s="6"/>
      <c r="G14" s="131"/>
      <c r="H14" s="47">
        <v>44197</v>
      </c>
      <c r="I14" s="47" t="s">
        <v>114</v>
      </c>
      <c r="J14" s="6"/>
      <c r="K14" s="131"/>
      <c r="L14" s="131"/>
      <c r="M14" s="131"/>
      <c r="N14" s="131"/>
    </row>
    <row r="15" spans="1:14" x14ac:dyDescent="0.3">
      <c r="A15" s="6">
        <v>3</v>
      </c>
      <c r="B15" s="48" t="s">
        <v>71</v>
      </c>
      <c r="C15" s="8"/>
      <c r="D15" s="6"/>
      <c r="E15" s="6"/>
      <c r="F15" s="6"/>
      <c r="G15" s="131"/>
      <c r="H15" s="47">
        <v>44197</v>
      </c>
      <c r="I15" s="47" t="s">
        <v>114</v>
      </c>
      <c r="J15" s="6"/>
      <c r="K15" s="131"/>
      <c r="L15" s="131"/>
      <c r="M15" s="131"/>
      <c r="N15" s="131"/>
    </row>
    <row r="16" spans="1:14" x14ac:dyDescent="0.3">
      <c r="A16" s="6">
        <v>4</v>
      </c>
      <c r="B16" s="48" t="s">
        <v>72</v>
      </c>
      <c r="C16" s="8"/>
      <c r="D16" s="6"/>
      <c r="E16" s="6"/>
      <c r="F16" s="6"/>
      <c r="G16" s="131"/>
      <c r="H16" s="47">
        <v>44197</v>
      </c>
      <c r="I16" s="47" t="s">
        <v>114</v>
      </c>
      <c r="J16" s="6"/>
      <c r="K16" s="131"/>
      <c r="L16" s="131"/>
      <c r="M16" s="131"/>
      <c r="N16" s="131"/>
    </row>
    <row r="17" spans="1:14" s="15" customFormat="1" x14ac:dyDescent="0.3">
      <c r="A17" s="6">
        <v>5</v>
      </c>
      <c r="B17" s="48" t="s">
        <v>73</v>
      </c>
      <c r="C17" s="8"/>
      <c r="D17" s="6"/>
      <c r="E17" s="6"/>
      <c r="F17" s="6"/>
      <c r="G17" s="131"/>
      <c r="H17" s="47">
        <v>42156</v>
      </c>
      <c r="I17" s="49" t="s">
        <v>113</v>
      </c>
      <c r="J17" s="50">
        <v>45291</v>
      </c>
      <c r="K17" s="149"/>
      <c r="L17" s="132"/>
      <c r="M17" s="132"/>
      <c r="N17" s="132"/>
    </row>
    <row r="18" spans="1:14" s="15" customFormat="1" x14ac:dyDescent="0.3">
      <c r="A18" s="16">
        <v>6</v>
      </c>
      <c r="B18" s="53" t="s">
        <v>74</v>
      </c>
      <c r="C18" s="54"/>
      <c r="D18" s="16"/>
      <c r="E18" s="16"/>
      <c r="F18" s="16"/>
      <c r="G18" s="132"/>
      <c r="H18" s="49">
        <v>42156</v>
      </c>
      <c r="I18" s="49" t="s">
        <v>114</v>
      </c>
      <c r="J18" s="50">
        <v>46045</v>
      </c>
      <c r="K18" s="132"/>
      <c r="L18" s="132"/>
      <c r="M18" s="132"/>
      <c r="N18" s="132"/>
    </row>
    <row r="19" spans="1:14" s="15" customFormat="1" x14ac:dyDescent="0.3">
      <c r="A19" s="16">
        <v>7</v>
      </c>
      <c r="B19" s="53" t="s">
        <v>75</v>
      </c>
      <c r="C19" s="54"/>
      <c r="D19" s="16"/>
      <c r="E19" s="16"/>
      <c r="F19" s="16"/>
      <c r="G19" s="132"/>
      <c r="H19" s="49">
        <v>44197</v>
      </c>
      <c r="I19" s="49" t="s">
        <v>113</v>
      </c>
      <c r="J19" s="50">
        <v>44737</v>
      </c>
      <c r="K19" s="149"/>
      <c r="L19" s="132"/>
      <c r="M19" s="132"/>
      <c r="N19" s="132"/>
    </row>
    <row r="20" spans="1:14" s="15" customFormat="1" x14ac:dyDescent="0.3">
      <c r="A20" s="16">
        <v>8</v>
      </c>
      <c r="B20" s="53" t="s">
        <v>97</v>
      </c>
      <c r="C20" s="54"/>
      <c r="D20" s="16"/>
      <c r="E20" s="16"/>
      <c r="F20" s="16"/>
      <c r="G20" s="132"/>
      <c r="H20" s="49">
        <v>44197</v>
      </c>
      <c r="I20" s="49" t="s">
        <v>113</v>
      </c>
      <c r="J20" s="50">
        <v>45382</v>
      </c>
      <c r="K20" s="149"/>
      <c r="L20" s="132"/>
      <c r="M20" s="132"/>
      <c r="N20" s="132"/>
    </row>
    <row r="21" spans="1:14" x14ac:dyDescent="0.3">
      <c r="A21" s="6">
        <v>9</v>
      </c>
      <c r="B21" s="48" t="s">
        <v>76</v>
      </c>
      <c r="C21" s="8"/>
      <c r="D21" s="6"/>
      <c r="E21" s="6"/>
      <c r="F21" s="6"/>
      <c r="G21" s="131"/>
      <c r="H21" s="47">
        <v>44197</v>
      </c>
      <c r="I21" s="47" t="s">
        <v>114</v>
      </c>
      <c r="J21" s="6"/>
      <c r="K21" s="131"/>
      <c r="L21" s="131"/>
      <c r="M21" s="131"/>
      <c r="N21" s="131"/>
    </row>
    <row r="22" spans="1:14" s="39" customFormat="1" x14ac:dyDescent="0.3">
      <c r="A22" s="16">
        <v>10</v>
      </c>
      <c r="B22" s="53" t="s">
        <v>77</v>
      </c>
      <c r="C22" s="54"/>
      <c r="D22" s="16"/>
      <c r="E22" s="16"/>
      <c r="F22" s="16"/>
      <c r="G22" s="132"/>
      <c r="H22" s="49">
        <v>44336</v>
      </c>
      <c r="I22" s="49" t="s">
        <v>113</v>
      </c>
      <c r="J22" s="50">
        <v>44651</v>
      </c>
      <c r="K22" s="149"/>
      <c r="L22" s="150"/>
      <c r="M22" s="150"/>
      <c r="N22" s="150"/>
    </row>
    <row r="23" spans="1:14" s="39" customFormat="1" x14ac:dyDescent="0.3">
      <c r="A23" s="16">
        <v>11</v>
      </c>
      <c r="B23" s="53" t="s">
        <v>98</v>
      </c>
      <c r="C23" s="54"/>
      <c r="D23" s="16"/>
      <c r="E23" s="16"/>
      <c r="F23" s="16"/>
      <c r="G23" s="132"/>
      <c r="H23" s="49">
        <v>44368</v>
      </c>
      <c r="I23" s="49" t="s">
        <v>113</v>
      </c>
      <c r="J23" s="50">
        <v>44651</v>
      </c>
      <c r="K23" s="149"/>
      <c r="L23" s="150"/>
      <c r="M23" s="150"/>
      <c r="N23" s="150"/>
    </row>
    <row r="24" spans="1:14" s="15" customFormat="1" x14ac:dyDescent="0.3">
      <c r="A24" s="16">
        <v>12</v>
      </c>
      <c r="B24" s="53" t="s">
        <v>99</v>
      </c>
      <c r="C24" s="54"/>
      <c r="D24" s="16"/>
      <c r="E24" s="16"/>
      <c r="F24" s="16"/>
      <c r="G24" s="132"/>
      <c r="H24" s="49">
        <v>44409</v>
      </c>
      <c r="I24" s="49" t="s">
        <v>113</v>
      </c>
      <c r="J24" s="50">
        <v>45807</v>
      </c>
      <c r="K24" s="149"/>
      <c r="L24" s="132"/>
      <c r="M24" s="132"/>
      <c r="N24" s="132"/>
    </row>
    <row r="25" spans="1:14" x14ac:dyDescent="0.3">
      <c r="A25" s="16">
        <v>13</v>
      </c>
      <c r="B25" s="53" t="s">
        <v>100</v>
      </c>
      <c r="C25" s="54"/>
      <c r="D25" s="16"/>
      <c r="E25" s="16"/>
      <c r="F25" s="16"/>
      <c r="G25" s="132"/>
      <c r="H25" s="49">
        <v>44409</v>
      </c>
      <c r="I25" s="49" t="s">
        <v>113</v>
      </c>
      <c r="J25" s="50">
        <v>44742</v>
      </c>
      <c r="K25" s="149"/>
      <c r="L25" s="131"/>
      <c r="M25" s="131"/>
      <c r="N25" s="131"/>
    </row>
    <row r="26" spans="1:14" x14ac:dyDescent="0.3">
      <c r="A26" s="16">
        <v>14</v>
      </c>
      <c r="B26" s="53" t="s">
        <v>115</v>
      </c>
      <c r="C26" s="54"/>
      <c r="D26" s="16"/>
      <c r="E26" s="16"/>
      <c r="F26" s="16"/>
      <c r="G26" s="132"/>
      <c r="H26" s="49">
        <v>44866</v>
      </c>
      <c r="I26" s="49" t="s">
        <v>113</v>
      </c>
      <c r="J26" s="50">
        <v>45387</v>
      </c>
      <c r="K26" s="149"/>
      <c r="L26" s="131"/>
      <c r="M26" s="131"/>
      <c r="N26" s="131"/>
    </row>
    <row r="27" spans="1:14" x14ac:dyDescent="0.3">
      <c r="A27" s="6">
        <v>15</v>
      </c>
      <c r="B27" s="48" t="s">
        <v>117</v>
      </c>
      <c r="C27" s="51"/>
      <c r="D27" s="5"/>
      <c r="E27" s="6"/>
      <c r="F27" s="6"/>
      <c r="G27" s="131"/>
      <c r="H27" s="47">
        <v>44964</v>
      </c>
      <c r="I27" s="47" t="s">
        <v>114</v>
      </c>
      <c r="J27" s="50"/>
      <c r="K27" s="149" t="s">
        <v>116</v>
      </c>
      <c r="L27" s="131"/>
      <c r="M27" s="131"/>
      <c r="N27" s="131"/>
    </row>
    <row r="28" spans="1:14" x14ac:dyDescent="0.3">
      <c r="A28" s="16">
        <v>16</v>
      </c>
      <c r="B28" s="53" t="s">
        <v>118</v>
      </c>
      <c r="C28" s="125"/>
      <c r="D28" s="126"/>
      <c r="E28" s="16"/>
      <c r="F28" s="16"/>
      <c r="G28" s="132"/>
      <c r="H28" s="49">
        <v>45078</v>
      </c>
      <c r="I28" s="49" t="s">
        <v>113</v>
      </c>
      <c r="J28" s="50">
        <v>46004</v>
      </c>
      <c r="K28" s="149"/>
      <c r="L28" s="131"/>
      <c r="M28" s="131"/>
      <c r="N28" s="131"/>
    </row>
    <row r="29" spans="1:14" x14ac:dyDescent="0.3">
      <c r="A29" s="6">
        <v>17</v>
      </c>
      <c r="B29" s="48" t="s">
        <v>120</v>
      </c>
      <c r="C29" s="51"/>
      <c r="D29" s="5"/>
      <c r="E29" s="44"/>
      <c r="F29" s="56"/>
      <c r="G29" s="56"/>
      <c r="H29" s="47">
        <v>45170</v>
      </c>
      <c r="I29" s="47" t="s">
        <v>114</v>
      </c>
      <c r="J29" s="50"/>
      <c r="K29" s="149"/>
      <c r="L29" s="131"/>
      <c r="M29" s="131"/>
      <c r="N29" s="131"/>
    </row>
    <row r="30" spans="1:14" s="15" customFormat="1" x14ac:dyDescent="0.3">
      <c r="A30" s="16">
        <v>18</v>
      </c>
      <c r="B30" s="53" t="s">
        <v>124</v>
      </c>
      <c r="C30" s="125"/>
      <c r="D30" s="126"/>
      <c r="E30" s="127"/>
      <c r="F30" s="128"/>
      <c r="G30" s="128"/>
      <c r="H30" s="49">
        <v>45236</v>
      </c>
      <c r="I30" s="49" t="s">
        <v>113</v>
      </c>
      <c r="J30" s="50">
        <v>45737</v>
      </c>
      <c r="K30" s="149"/>
      <c r="L30" s="132"/>
      <c r="M30" s="132"/>
      <c r="N30" s="132"/>
    </row>
    <row r="31" spans="1:14" x14ac:dyDescent="0.3">
      <c r="A31" s="6">
        <v>19</v>
      </c>
      <c r="B31" s="48" t="s">
        <v>129</v>
      </c>
      <c r="C31" s="51"/>
      <c r="D31" s="5"/>
      <c r="E31" s="44"/>
      <c r="F31" s="56"/>
      <c r="G31" s="56"/>
      <c r="H31" s="47">
        <v>45384</v>
      </c>
      <c r="I31" s="47" t="s">
        <v>114</v>
      </c>
      <c r="J31" s="50"/>
      <c r="K31" s="149"/>
      <c r="L31" s="131"/>
      <c r="M31" s="131"/>
      <c r="N31" s="131"/>
    </row>
    <row r="32" spans="1:14" x14ac:dyDescent="0.3">
      <c r="A32" s="16">
        <v>20</v>
      </c>
      <c r="B32" s="53" t="s">
        <v>131</v>
      </c>
      <c r="C32" s="125"/>
      <c r="D32" s="126"/>
      <c r="E32" s="127"/>
      <c r="F32" s="128"/>
      <c r="G32" s="128"/>
      <c r="H32" s="49">
        <v>45663</v>
      </c>
      <c r="I32" s="49" t="s">
        <v>113</v>
      </c>
      <c r="J32" s="50">
        <v>45978</v>
      </c>
      <c r="K32" s="149"/>
      <c r="L32" s="131"/>
      <c r="M32" s="131"/>
      <c r="N32" s="131"/>
    </row>
    <row r="33" spans="1:14" x14ac:dyDescent="0.3">
      <c r="A33" s="6">
        <v>21</v>
      </c>
      <c r="B33" s="48" t="s">
        <v>133</v>
      </c>
      <c r="C33" s="51"/>
      <c r="D33" s="5"/>
      <c r="E33" s="44"/>
      <c r="F33" s="56"/>
      <c r="G33" s="56"/>
      <c r="H33" s="47">
        <v>45678</v>
      </c>
      <c r="I33" s="47" t="s">
        <v>114</v>
      </c>
      <c r="J33" s="50"/>
      <c r="K33" s="149"/>
      <c r="L33" s="131"/>
      <c r="M33" s="131"/>
      <c r="N33" s="131"/>
    </row>
    <row r="34" spans="1:14" x14ac:dyDescent="0.3">
      <c r="A34" s="6">
        <v>22</v>
      </c>
      <c r="B34" s="48" t="s">
        <v>134</v>
      </c>
      <c r="C34" s="51"/>
      <c r="D34" s="5"/>
      <c r="E34" s="44"/>
      <c r="F34" s="56"/>
      <c r="G34" s="56"/>
      <c r="H34" s="47">
        <v>45761</v>
      </c>
      <c r="I34" s="47" t="s">
        <v>114</v>
      </c>
      <c r="J34" s="50"/>
      <c r="K34" s="149"/>
      <c r="L34" s="131"/>
      <c r="M34" s="131"/>
      <c r="N34" s="131"/>
    </row>
    <row r="35" spans="1:14" x14ac:dyDescent="0.3">
      <c r="A35" s="6">
        <v>23</v>
      </c>
      <c r="B35" s="48" t="s">
        <v>135</v>
      </c>
      <c r="C35" s="51"/>
      <c r="D35" s="5"/>
      <c r="E35" s="44"/>
      <c r="F35" s="56"/>
      <c r="G35" s="56"/>
      <c r="H35" s="47">
        <v>45814</v>
      </c>
      <c r="I35" s="47" t="s">
        <v>114</v>
      </c>
      <c r="J35" s="50"/>
      <c r="K35" s="149"/>
      <c r="L35" s="131"/>
      <c r="M35" s="131"/>
      <c r="N35" s="131"/>
    </row>
    <row r="36" spans="1:14" x14ac:dyDescent="0.3">
      <c r="A36" s="6">
        <v>24</v>
      </c>
      <c r="B36" s="48" t="s">
        <v>137</v>
      </c>
      <c r="C36" s="51"/>
      <c r="D36" s="5"/>
      <c r="E36" s="44"/>
      <c r="F36" s="56"/>
      <c r="G36" s="56"/>
      <c r="H36" s="47">
        <v>45971</v>
      </c>
      <c r="I36" s="47" t="s">
        <v>114</v>
      </c>
      <c r="J36" s="50"/>
      <c r="K36" s="149"/>
      <c r="L36" s="131"/>
      <c r="M36" s="131"/>
      <c r="N36" s="131"/>
    </row>
    <row r="37" spans="1:14" x14ac:dyDescent="0.3">
      <c r="A37" s="6">
        <v>25</v>
      </c>
      <c r="B37" s="48" t="s">
        <v>141</v>
      </c>
      <c r="C37" s="51"/>
      <c r="D37" s="5"/>
      <c r="E37" s="44"/>
      <c r="F37" s="56"/>
      <c r="G37" s="56"/>
      <c r="H37" s="47">
        <v>46093</v>
      </c>
      <c r="I37" s="47" t="s">
        <v>114</v>
      </c>
      <c r="J37" s="50"/>
      <c r="K37" s="149"/>
      <c r="L37" s="131"/>
      <c r="M37" s="131"/>
      <c r="N37" s="131"/>
    </row>
    <row r="38" spans="1:14" x14ac:dyDescent="0.3">
      <c r="A38" s="6">
        <v>25</v>
      </c>
      <c r="B38" s="48" t="s">
        <v>142</v>
      </c>
      <c r="C38" s="51"/>
      <c r="D38" s="5"/>
      <c r="E38" s="44"/>
      <c r="F38" s="56"/>
      <c r="G38" s="56"/>
      <c r="H38" s="47">
        <v>46125</v>
      </c>
      <c r="I38" s="47" t="s">
        <v>114</v>
      </c>
      <c r="J38" s="50"/>
      <c r="K38" s="149"/>
      <c r="L38" s="131"/>
      <c r="M38" s="131"/>
      <c r="N38" s="131"/>
    </row>
    <row r="39" spans="1:14" s="17" customFormat="1" x14ac:dyDescent="0.3">
      <c r="A39" s="3"/>
      <c r="B39" s="3"/>
      <c r="C39" s="3" t="s">
        <v>78</v>
      </c>
      <c r="D39" s="3"/>
      <c r="E39" s="3"/>
      <c r="F39" s="3"/>
      <c r="G39" s="133"/>
      <c r="H39" s="46"/>
      <c r="I39" s="46"/>
      <c r="J39" s="3"/>
      <c r="K39" s="133"/>
      <c r="L39" s="133"/>
      <c r="M39" s="133"/>
      <c r="N39" s="133"/>
    </row>
    <row r="40" spans="1:14" x14ac:dyDescent="0.3">
      <c r="A40" s="134"/>
      <c r="B40" s="134" t="s">
        <v>79</v>
      </c>
    </row>
    <row r="41" spans="1:14" x14ac:dyDescent="0.3">
      <c r="A41" s="134"/>
      <c r="B41" s="134" t="s">
        <v>80</v>
      </c>
    </row>
    <row r="42" spans="1:14" x14ac:dyDescent="0.3">
      <c r="A42" s="134"/>
      <c r="B42" s="134" t="s">
        <v>81</v>
      </c>
    </row>
  </sheetData>
  <mergeCells count="6">
    <mergeCell ref="A9:N9"/>
    <mergeCell ref="A5:H8"/>
    <mergeCell ref="A1:H1"/>
    <mergeCell ref="A2:H2"/>
    <mergeCell ref="A3:H3"/>
    <mergeCell ref="A4:H4"/>
  </mergeCells>
  <phoneticPr fontId="24" type="noConversion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Employee Salary Working Details</vt:lpstr>
      <vt:lpstr>Att</vt:lpstr>
      <vt:lpstr>Salary Slips</vt:lpstr>
      <vt:lpstr>Employee List</vt:lpstr>
      <vt:lpstr>'Salary Slips'!Print_Area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Mihir Mistry</cp:lastModifiedBy>
  <cp:lastPrinted>2026-05-16T10:49:14Z</cp:lastPrinted>
  <dcterms:created xsi:type="dcterms:W3CDTF">2014-08-27T04:55:11Z</dcterms:created>
  <dcterms:modified xsi:type="dcterms:W3CDTF">2026-06-06T15:15:58Z</dcterms:modified>
</cp:coreProperties>
</file>