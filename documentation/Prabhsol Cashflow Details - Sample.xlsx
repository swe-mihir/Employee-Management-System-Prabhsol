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rive-F\Old HDD\Business\Software Development\"/>
    </mc:Choice>
  </mc:AlternateContent>
  <xr:revisionPtr revIDLastSave="0" documentId="8_{EAA49C81-413A-4CDD-9D4D-FAE72114BB5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" sheetId="1" r:id="rId1"/>
    <sheet name="Income" sheetId="2" r:id="rId2"/>
    <sheet name="Expen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ywcx4erQUe7j2OaHtYdy8t1kSkclMKo+6jvrJR8GQY="/>
    </ext>
  </extLst>
</workbook>
</file>

<file path=xl/calcChain.xml><?xml version="1.0" encoding="utf-8"?>
<calcChain xmlns="http://schemas.openxmlformats.org/spreadsheetml/2006/main">
  <c r="E31" i="2" l="1"/>
  <c r="F31" i="2"/>
  <c r="G31" i="2"/>
  <c r="H31" i="2"/>
  <c r="I31" i="2"/>
  <c r="J31" i="2"/>
  <c r="K31" i="2"/>
  <c r="L31" i="2"/>
  <c r="M31" i="2"/>
  <c r="N31" i="2"/>
  <c r="O31" i="2"/>
  <c r="P31" i="2"/>
  <c r="D42" i="2"/>
  <c r="D43" i="2"/>
  <c r="D32" i="2"/>
  <c r="N28" i="2"/>
  <c r="K28" i="2"/>
  <c r="H28" i="2"/>
  <c r="F28" i="2"/>
  <c r="D28" i="2" l="1"/>
  <c r="D26" i="2"/>
  <c r="D25" i="2"/>
  <c r="D8" i="2" l="1"/>
  <c r="D9" i="2"/>
  <c r="D19" i="2"/>
  <c r="D20" i="2"/>
  <c r="D18" i="2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 s="1"/>
  <c r="C58" i="3" s="1"/>
  <c r="O37" i="3"/>
  <c r="O58" i="3" s="1"/>
  <c r="N37" i="3"/>
  <c r="N58" i="3" s="1"/>
  <c r="M37" i="3"/>
  <c r="M58" i="3" s="1"/>
  <c r="L37" i="3"/>
  <c r="L58" i="3" s="1"/>
  <c r="K37" i="3"/>
  <c r="K58" i="3" s="1"/>
  <c r="J37" i="3"/>
  <c r="J58" i="3" s="1"/>
  <c r="I37" i="3"/>
  <c r="I58" i="3" s="1"/>
  <c r="H37" i="3"/>
  <c r="H58" i="3" s="1"/>
  <c r="G37" i="3"/>
  <c r="G58" i="3" s="1"/>
  <c r="F37" i="3"/>
  <c r="F58" i="3" s="1"/>
  <c r="E37" i="3"/>
  <c r="E58" i="3" s="1"/>
  <c r="D37" i="3"/>
  <c r="D58" i="3" s="1"/>
  <c r="C32" i="3"/>
  <c r="C20" i="1" s="1"/>
  <c r="C29" i="3"/>
  <c r="C28" i="3"/>
  <c r="C26" i="3"/>
  <c r="C25" i="3"/>
  <c r="C24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C20" i="3"/>
  <c r="C19" i="3"/>
  <c r="C17" i="3" s="1"/>
  <c r="C16" i="1" s="1"/>
  <c r="C18" i="3"/>
  <c r="O17" i="3"/>
  <c r="N17" i="3"/>
  <c r="M17" i="3"/>
  <c r="L17" i="3"/>
  <c r="K17" i="3"/>
  <c r="J17" i="3"/>
  <c r="I17" i="3"/>
  <c r="H17" i="3"/>
  <c r="G17" i="3"/>
  <c r="F17" i="3"/>
  <c r="E17" i="3"/>
  <c r="D17" i="3"/>
  <c r="C15" i="3"/>
  <c r="C12" i="3"/>
  <c r="C11" i="3"/>
  <c r="C10" i="3"/>
  <c r="C9" i="3"/>
  <c r="C8" i="3"/>
  <c r="O7" i="3"/>
  <c r="N7" i="3"/>
  <c r="M7" i="3"/>
  <c r="L7" i="3"/>
  <c r="K7" i="3"/>
  <c r="J7" i="3"/>
  <c r="I7" i="3"/>
  <c r="H7" i="3"/>
  <c r="G7" i="3"/>
  <c r="F7" i="3"/>
  <c r="E7" i="3"/>
  <c r="D7" i="3"/>
  <c r="C7" i="3"/>
  <c r="D50" i="2"/>
  <c r="D49" i="2"/>
  <c r="D48" i="2"/>
  <c r="D47" i="2"/>
  <c r="D46" i="2"/>
  <c r="D45" i="2"/>
  <c r="D44" i="2"/>
  <c r="D41" i="2" s="1"/>
  <c r="O41" i="2"/>
  <c r="N41" i="2"/>
  <c r="M41" i="2"/>
  <c r="L41" i="2"/>
  <c r="K41" i="2"/>
  <c r="J41" i="2"/>
  <c r="I41" i="2"/>
  <c r="H41" i="2"/>
  <c r="G41" i="2"/>
  <c r="F41" i="2"/>
  <c r="E41" i="2"/>
  <c r="D40" i="2"/>
  <c r="D39" i="2"/>
  <c r="D38" i="2"/>
  <c r="D37" i="2"/>
  <c r="D36" i="2"/>
  <c r="D35" i="2"/>
  <c r="D34" i="2"/>
  <c r="D31" i="2" s="1"/>
  <c r="O10" i="1"/>
  <c r="N10" i="1"/>
  <c r="M10" i="1"/>
  <c r="L10" i="1"/>
  <c r="K10" i="1"/>
  <c r="I10" i="1"/>
  <c r="H10" i="1"/>
  <c r="G10" i="1"/>
  <c r="F10" i="1"/>
  <c r="E10" i="1"/>
  <c r="K24" i="2"/>
  <c r="J9" i="1" s="1"/>
  <c r="H24" i="2"/>
  <c r="G9" i="1" s="1"/>
  <c r="G21" i="1" s="1"/>
  <c r="G27" i="1" s="1"/>
  <c r="P24" i="2"/>
  <c r="O9" i="1" s="1"/>
  <c r="O24" i="2"/>
  <c r="N9" i="1" s="1"/>
  <c r="N24" i="2"/>
  <c r="M9" i="1" s="1"/>
  <c r="M24" i="2"/>
  <c r="L9" i="1" s="1"/>
  <c r="L24" i="2"/>
  <c r="K9" i="1" s="1"/>
  <c r="J24" i="2"/>
  <c r="I9" i="1" s="1"/>
  <c r="I21" i="1" s="1"/>
  <c r="I27" i="1" s="1"/>
  <c r="I24" i="2"/>
  <c r="H9" i="1" s="1"/>
  <c r="H21" i="1" s="1"/>
  <c r="H27" i="1" s="1"/>
  <c r="G24" i="2"/>
  <c r="F9" i="1" s="1"/>
  <c r="F21" i="1" s="1"/>
  <c r="F27" i="1" s="1"/>
  <c r="F24" i="2"/>
  <c r="E9" i="1" s="1"/>
  <c r="E21" i="1" s="1"/>
  <c r="E27" i="1" s="1"/>
  <c r="D22" i="2"/>
  <c r="P17" i="2"/>
  <c r="O8" i="1" s="1"/>
  <c r="O17" i="2"/>
  <c r="N8" i="1" s="1"/>
  <c r="N17" i="2"/>
  <c r="M8" i="1" s="1"/>
  <c r="M17" i="2"/>
  <c r="L8" i="1" s="1"/>
  <c r="L17" i="2"/>
  <c r="K8" i="1" s="1"/>
  <c r="K17" i="2"/>
  <c r="J8" i="1" s="1"/>
  <c r="J17" i="2"/>
  <c r="I8" i="1" s="1"/>
  <c r="I17" i="2"/>
  <c r="H8" i="1" s="1"/>
  <c r="H17" i="2"/>
  <c r="G8" i="1" s="1"/>
  <c r="G17" i="2"/>
  <c r="F8" i="1" s="1"/>
  <c r="F17" i="2"/>
  <c r="E8" i="1" s="1"/>
  <c r="E17" i="2"/>
  <c r="D8" i="1" s="1"/>
  <c r="D15" i="2"/>
  <c r="N14" i="2"/>
  <c r="N12" i="2" s="1"/>
  <c r="M7" i="1" s="1"/>
  <c r="D13" i="2"/>
  <c r="D12" i="2" s="1"/>
  <c r="C7" i="1" s="1"/>
  <c r="P12" i="2"/>
  <c r="O7" i="1" s="1"/>
  <c r="O12" i="2"/>
  <c r="N7" i="1" s="1"/>
  <c r="M12" i="2"/>
  <c r="L7" i="1" s="1"/>
  <c r="L12" i="2"/>
  <c r="K7" i="1" s="1"/>
  <c r="K12" i="2"/>
  <c r="J7" i="1" s="1"/>
  <c r="J12" i="2"/>
  <c r="I7" i="1" s="1"/>
  <c r="I12" i="2"/>
  <c r="H7" i="1" s="1"/>
  <c r="H12" i="2"/>
  <c r="G7" i="1" s="1"/>
  <c r="G12" i="2"/>
  <c r="F7" i="1" s="1"/>
  <c r="F12" i="2"/>
  <c r="E7" i="1" s="1"/>
  <c r="E12" i="2"/>
  <c r="D7" i="1" s="1"/>
  <c r="D10" i="2"/>
  <c r="D7" i="2"/>
  <c r="D6" i="2"/>
  <c r="P5" i="2"/>
  <c r="O6" i="1" s="1"/>
  <c r="O5" i="2"/>
  <c r="N6" i="1" s="1"/>
  <c r="N5" i="2"/>
  <c r="M6" i="1" s="1"/>
  <c r="M5" i="2"/>
  <c r="L6" i="1" s="1"/>
  <c r="L5" i="2"/>
  <c r="K6" i="1" s="1"/>
  <c r="K5" i="2"/>
  <c r="J6" i="1" s="1"/>
  <c r="J5" i="2"/>
  <c r="I6" i="1" s="1"/>
  <c r="I5" i="2"/>
  <c r="H6" i="1" s="1"/>
  <c r="H5" i="2"/>
  <c r="G6" i="1" s="1"/>
  <c r="G5" i="2"/>
  <c r="F6" i="1" s="1"/>
  <c r="F5" i="2"/>
  <c r="E6" i="1" s="1"/>
  <c r="E5" i="2"/>
  <c r="D6" i="1" s="1"/>
  <c r="C21" i="1"/>
  <c r="C19" i="1"/>
  <c r="C17" i="1"/>
  <c r="C15" i="1"/>
  <c r="C27" i="1" l="1"/>
  <c r="D17" i="2"/>
  <c r="C8" i="1" s="1"/>
  <c r="J10" i="1"/>
  <c r="J12" i="1" s="1"/>
  <c r="H12" i="1"/>
  <c r="H29" i="1" s="1"/>
  <c r="I12" i="1"/>
  <c r="I29" i="1" s="1"/>
  <c r="K21" i="1"/>
  <c r="K27" i="1" s="1"/>
  <c r="L21" i="1"/>
  <c r="L27" i="1" s="1"/>
  <c r="L12" i="1"/>
  <c r="L29" i="1" s="1"/>
  <c r="G53" i="2"/>
  <c r="K12" i="1"/>
  <c r="K29" i="1" s="1"/>
  <c r="F53" i="2"/>
  <c r="J53" i="2"/>
  <c r="M53" i="2"/>
  <c r="P53" i="2"/>
  <c r="L53" i="2"/>
  <c r="D27" i="2"/>
  <c r="D24" i="2" s="1"/>
  <c r="C9" i="1" s="1"/>
  <c r="E24" i="2"/>
  <c r="D9" i="1" s="1"/>
  <c r="D21" i="1" s="1"/>
  <c r="D27" i="1" s="1"/>
  <c r="N21" i="1"/>
  <c r="N27" i="1" s="1"/>
  <c r="N12" i="1"/>
  <c r="J21" i="1"/>
  <c r="J27" i="1" s="1"/>
  <c r="G12" i="1"/>
  <c r="G29" i="1" s="1"/>
  <c r="M21" i="1"/>
  <c r="M27" i="1" s="1"/>
  <c r="M12" i="1"/>
  <c r="M29" i="1" s="1"/>
  <c r="E12" i="1"/>
  <c r="E29" i="1" s="1"/>
  <c r="D5" i="2"/>
  <c r="C6" i="1" s="1"/>
  <c r="O53" i="2"/>
  <c r="N53" i="2"/>
  <c r="H53" i="2"/>
  <c r="O21" i="1"/>
  <c r="O27" i="1" s="1"/>
  <c r="O12" i="1"/>
  <c r="I53" i="2"/>
  <c r="F12" i="1"/>
  <c r="F29" i="1" s="1"/>
  <c r="D10" i="1"/>
  <c r="C10" i="1"/>
  <c r="E53" i="2" l="1"/>
  <c r="D12" i="1"/>
  <c r="K53" i="2"/>
  <c r="N29" i="1"/>
  <c r="J29" i="1"/>
  <c r="C12" i="1"/>
  <c r="C29" i="1" s="1"/>
  <c r="D53" i="2"/>
  <c r="O29" i="1"/>
  <c r="D29" i="1"/>
  <c r="D30" i="1"/>
  <c r="E4" i="1" s="1"/>
  <c r="E30" i="1" s="1"/>
  <c r="F4" i="1" s="1"/>
  <c r="F30" i="1" s="1"/>
  <c r="G4" i="1" s="1"/>
  <c r="G30" i="1" s="1"/>
  <c r="H4" i="1" s="1"/>
  <c r="H30" i="1" s="1"/>
  <c r="I4" i="1" s="1"/>
  <c r="I30" i="1" s="1"/>
  <c r="J4" i="1" s="1"/>
  <c r="J30" i="1" s="1"/>
  <c r="K4" i="1" s="1"/>
  <c r="K30" i="1" s="1"/>
  <c r="L4" i="1" s="1"/>
  <c r="L30" i="1" s="1"/>
  <c r="M4" i="1" s="1"/>
  <c r="M30" i="1" s="1"/>
  <c r="N4" i="1" s="1"/>
  <c r="N30" i="1" s="1"/>
  <c r="O4" i="1" s="1"/>
  <c r="O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9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======
ID#AAAB1v7ZR_U
Nayan    (2026-03-14 11:16:15)
15 Jan</t>
        </r>
      </text>
    </comment>
    <comment ref="N50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ID#AAAB1v7ZR_g
Nayan    (2026-03-14 11:16:15)
10 Feb</t>
        </r>
      </text>
    </comment>
    <comment ref="F5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ID#AAAB1v7ZR_c
Nayan    (2026-03-14 11:16:15)
Chennai Travel and Stay - Firewall Migration</t>
        </r>
      </text>
    </comment>
    <comment ref="K5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ID#AAAB1v7ZR_Y
Nayan    (2026-03-14 11:16:15)
Chennai Courier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rsufdwxMow2Ec7fFAKqKdNEpqw=="/>
    </ext>
  </extLst>
</comments>
</file>

<file path=xl/sharedStrings.xml><?xml version="1.0" encoding="utf-8"?>
<sst xmlns="http://schemas.openxmlformats.org/spreadsheetml/2006/main" count="189" uniqueCount="84">
  <si>
    <t>Cash Flow for Prabh Solutions FY26-27</t>
  </si>
  <si>
    <t>All Figures are in Rupees</t>
  </si>
  <si>
    <t>Total Cost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</si>
  <si>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</si>
  <si>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</si>
  <si>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</si>
  <si>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</si>
  <si>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</si>
  <si>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</si>
  <si>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</si>
  <si>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</si>
  <si>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</si>
  <si>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</si>
  <si>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</si>
  <si>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March</t>
  </si>
  <si>
    <t>CASH FLOW</t>
  </si>
  <si>
    <t>August</t>
  </si>
  <si>
    <t>September</t>
  </si>
  <si>
    <t>October</t>
  </si>
  <si>
    <t>November</t>
  </si>
  <si>
    <t>December</t>
  </si>
  <si>
    <t>January</t>
  </si>
  <si>
    <t>February</t>
  </si>
  <si>
    <t>OPENING BALANCE</t>
  </si>
  <si>
    <t>Customer</t>
  </si>
  <si>
    <t>Cash incoming</t>
  </si>
  <si>
    <t>Distributor</t>
  </si>
  <si>
    <t>Consulting Sales</t>
  </si>
  <si>
    <t>Audit Sales</t>
  </si>
  <si>
    <t>Implementation</t>
  </si>
  <si>
    <t>Management Charges</t>
  </si>
  <si>
    <t>Product Supply</t>
  </si>
  <si>
    <t>Total incoming</t>
  </si>
  <si>
    <t>Cash outgoing</t>
  </si>
  <si>
    <t>Project Team</t>
  </si>
  <si>
    <t>Onsite</t>
  </si>
  <si>
    <t>Backoffice</t>
  </si>
  <si>
    <t>SWATI MAHESH PF Payment</t>
  </si>
  <si>
    <t>Prabhsol</t>
  </si>
  <si>
    <t>OD - INT</t>
  </si>
  <si>
    <t>TDS Deduction</t>
  </si>
  <si>
    <t>Purchase</t>
  </si>
  <si>
    <t>Total outgoing</t>
  </si>
  <si>
    <t>Monthly cash balance</t>
  </si>
  <si>
    <t>CLOSING BALANCE</t>
  </si>
  <si>
    <t>Total Quote</t>
  </si>
  <si>
    <t>Digital Edge BOM 2</t>
  </si>
  <si>
    <t>Relight</t>
  </si>
  <si>
    <t>Lumina BOM 2</t>
  </si>
  <si>
    <t>Kotak Trust Residence</t>
  </si>
  <si>
    <t>E&amp;Y - First source</t>
  </si>
  <si>
    <t>E&amp;Y</t>
  </si>
  <si>
    <t>Yatra Firewall</t>
  </si>
  <si>
    <t>Yatra</t>
  </si>
  <si>
    <t>RBL Finserve Videoconference</t>
  </si>
  <si>
    <t>RBL</t>
  </si>
  <si>
    <t>Star Health Tacacs</t>
  </si>
  <si>
    <t>Star health</t>
  </si>
  <si>
    <t>Excel</t>
  </si>
  <si>
    <t>Nomura</t>
  </si>
  <si>
    <t>Start Health Insurance</t>
  </si>
  <si>
    <t>StarHI</t>
  </si>
  <si>
    <t>Star Health TACACs</t>
  </si>
  <si>
    <t>Product Services Supply</t>
  </si>
  <si>
    <t>TDS Deducted</t>
  </si>
  <si>
    <t>Office Rent</t>
  </si>
  <si>
    <t>Banks Intrest</t>
  </si>
  <si>
    <t>Purchase - Payments</t>
  </si>
  <si>
    <t>Other Expenses</t>
  </si>
  <si>
    <t>PDG Consulting</t>
  </si>
  <si>
    <t>Emp 1</t>
  </si>
  <si>
    <t>Emp 2</t>
  </si>
  <si>
    <t>Emp 3</t>
  </si>
  <si>
    <t>Emp 4</t>
  </si>
  <si>
    <t>Emp 5</t>
  </si>
  <si>
    <t>Emp 6</t>
  </si>
  <si>
    <t>Emp 7</t>
  </si>
  <si>
    <t>Emp 8</t>
  </si>
  <si>
    <t>Emp 9</t>
  </si>
  <si>
    <t>Emp 10</t>
  </si>
  <si>
    <t>Emp 11</t>
  </si>
  <si>
    <t>Emp 12</t>
  </si>
  <si>
    <t>Emp 13</t>
  </si>
  <si>
    <t>Bank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</si>
</sst>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_ ;_ [$₹-4009]\ * \-#,##0_ ;_ [$₹-4009]\ * &quot;-&quot;??_ ;_ @_ "/>
    <numFmt numFmtId="165" formatCode="&quot;$&quot;#,##0"/>
    <numFmt numFmtId="166" formatCode="&quot;$&quot;#,##0.00"/>
  </numFmts>
  <fonts count="18" x14ac:knownFonts="1">
    <font>
      <sz val="11"/>
      <color theme="1"/>
      <name val="Calibri"/>
      <scheme val="minor"/>
    </font>
    <font>
      <sz val="18"/>
      <color theme="1"/>
      <name val="Verdana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Verdana"/>
      <family val="2"/>
    </font>
    <font>
      <b/>
      <sz val="10"/>
      <color theme="1"/>
      <name val="Verdana"/>
      <family val="2"/>
    </font>
    <font>
      <b/>
      <sz val="11"/>
      <color rgb="FF000000"/>
      <name val="Verdana"/>
      <family val="2"/>
    </font>
    <font>
      <b/>
      <sz val="11"/>
      <color rgb="FF333333"/>
      <name val="Verdana"/>
      <family val="2"/>
    </font>
    <font>
      <b/>
      <sz val="11"/>
      <color theme="1"/>
      <name val="Calibri"/>
      <family val="2"/>
    </font>
    <font>
      <b/>
      <sz val="10"/>
      <color rgb="FF333333"/>
      <name val="Verdana"/>
      <family val="2"/>
    </font>
    <font>
      <sz val="9"/>
      <color rgb="FF333333"/>
      <name val="Verdana"/>
      <family val="2"/>
    </font>
    <font>
      <sz val="10"/>
      <color rgb="FF333333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0" borderId="0" xfId="0" applyFont="1"/>
    <xf numFmtId="17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3" xfId="0" applyFont="1" applyBorder="1" applyAlignment="1">
      <alignment vertical="center" wrapText="1"/>
    </xf>
    <xf numFmtId="164" fontId="6" fillId="0" borderId="3" xfId="0" applyNumberFormat="1" applyFont="1" applyBorder="1" applyAlignment="1">
      <alignment vertical="center" wrapText="1"/>
    </xf>
    <xf numFmtId="164" fontId="7" fillId="0" borderId="3" xfId="0" applyNumberFormat="1" applyFont="1" applyBorder="1" applyAlignment="1">
      <alignment vertical="center" wrapText="1"/>
    </xf>
    <xf numFmtId="0" fontId="8" fillId="0" borderId="0" xfId="0" applyFont="1"/>
    <xf numFmtId="165" fontId="9" fillId="0" borderId="1" xfId="0" applyNumberFormat="1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vertical="center" wrapText="1"/>
    </xf>
    <xf numFmtId="165" fontId="9" fillId="0" borderId="3" xfId="0" applyNumberFormat="1" applyFont="1" applyBorder="1" applyAlignment="1">
      <alignment horizontal="left" vertical="center" wrapText="1"/>
    </xf>
    <xf numFmtId="164" fontId="11" fillId="0" borderId="3" xfId="0" applyNumberFormat="1" applyFont="1" applyBorder="1" applyAlignment="1">
      <alignment horizontal="left" vertical="center" wrapText="1"/>
    </xf>
    <xf numFmtId="166" fontId="11" fillId="0" borderId="3" xfId="0" applyNumberFormat="1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164" fontId="12" fillId="0" borderId="4" xfId="0" applyNumberFormat="1" applyFont="1" applyBorder="1" applyAlignment="1">
      <alignment horizontal="left" vertical="center" wrapText="1"/>
    </xf>
    <xf numFmtId="164" fontId="13" fillId="0" borderId="4" xfId="0" applyNumberFormat="1" applyFont="1" applyBorder="1" applyAlignment="1">
      <alignment vertical="center" wrapText="1"/>
    </xf>
    <xf numFmtId="165" fontId="9" fillId="0" borderId="2" xfId="0" applyNumberFormat="1" applyFont="1" applyBorder="1" applyAlignment="1">
      <alignment horizontal="left" vertical="center" wrapText="1"/>
    </xf>
    <xf numFmtId="164" fontId="9" fillId="0" borderId="2" xfId="0" applyNumberFormat="1" applyFont="1" applyBorder="1" applyAlignment="1">
      <alignment horizontal="left" vertical="center" wrapText="1"/>
    </xf>
    <xf numFmtId="164" fontId="10" fillId="0" borderId="2" xfId="0" applyNumberFormat="1" applyFont="1" applyBorder="1" applyAlignment="1">
      <alignment vertical="center" wrapText="1"/>
    </xf>
    <xf numFmtId="0" fontId="14" fillId="0" borderId="3" xfId="0" applyFont="1" applyBorder="1" applyAlignment="1">
      <alignment horizontal="left" vertical="center"/>
    </xf>
    <xf numFmtId="164" fontId="14" fillId="0" borderId="3" xfId="0" applyNumberFormat="1" applyFont="1" applyBorder="1" applyAlignment="1">
      <alignment horizontal="right" vertical="center"/>
    </xf>
    <xf numFmtId="165" fontId="11" fillId="0" borderId="3" xfId="0" applyNumberFormat="1" applyFont="1" applyBorder="1" applyAlignment="1">
      <alignment horizontal="left" vertical="center" wrapText="1"/>
    </xf>
    <xf numFmtId="164" fontId="11" fillId="0" borderId="3" xfId="0" applyNumberFormat="1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/>
    </xf>
    <xf numFmtId="164" fontId="13" fillId="0" borderId="3" xfId="0" applyNumberFormat="1" applyFont="1" applyBorder="1" applyAlignment="1">
      <alignment vertical="center" wrapText="1"/>
    </xf>
    <xf numFmtId="165" fontId="11" fillId="0" borderId="1" xfId="0" applyNumberFormat="1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vertical="center" wrapText="1"/>
    </xf>
    <xf numFmtId="164" fontId="12" fillId="0" borderId="3" xfId="0" applyNumberFormat="1" applyFont="1" applyBorder="1" applyAlignment="1">
      <alignment horizontal="left" vertical="center" wrapText="1"/>
    </xf>
    <xf numFmtId="164" fontId="12" fillId="0" borderId="3" xfId="0" applyNumberFormat="1" applyFont="1" applyBorder="1" applyAlignment="1">
      <alignment vertical="center" wrapText="1"/>
    </xf>
    <xf numFmtId="164" fontId="15" fillId="0" borderId="0" xfId="0" applyNumberFormat="1" applyFont="1"/>
    <xf numFmtId="0" fontId="15" fillId="0" borderId="0" xfId="0" applyFont="1" applyAlignment="1">
      <alignment vertical="center"/>
    </xf>
    <xf numFmtId="0" fontId="15" fillId="0" borderId="3" xfId="0" applyFont="1" applyBorder="1"/>
    <xf numFmtId="0" fontId="16" fillId="0" borderId="3" xfId="0" applyFont="1" applyBorder="1" applyAlignment="1">
      <alignment horizontal="left" vertical="center"/>
    </xf>
    <xf numFmtId="164" fontId="11" fillId="2" borderId="3" xfId="0" applyNumberFormat="1" applyFont="1" applyFill="1" applyBorder="1" applyAlignment="1">
      <alignment horizontal="left" vertical="center" wrapText="1"/>
    </xf>
    <xf numFmtId="164" fontId="10" fillId="2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7" workbookViewId="0">
      <selection activeCell="C9" sqref="C9"/>
    </sheetView>
  </sheetViews>
  <sheetFormatPr defaultColWidth="14.453125" defaultRowHeight="15" customHeight="1" x14ac:dyDescent="0.35"/>
  <cols>
    <col min="1" max="1" width="33.453125" customWidth="1"/>
    <col min="2" max="2" width="14.54296875" customWidth="1"/>
    <col min="3" max="3" width="23.08984375" customWidth="1"/>
    <col min="4" max="4" width="20.08984375" customWidth="1"/>
    <col min="5" max="5" width="17.6328125" customWidth="1"/>
    <col min="6" max="6" width="18.54296875" customWidth="1"/>
    <col min="7" max="8" width="17.6328125" customWidth="1"/>
    <col min="9" max="10" width="20.90625" customWidth="1"/>
    <col min="11" max="11" width="21.6328125" customWidth="1"/>
    <col min="12" max="12" width="24" customWidth="1"/>
    <col min="13" max="14" width="22.36328125" customWidth="1"/>
    <col min="15" max="15" width="21.6328125" customWidth="1"/>
    <col min="16" max="26" width="24.6328125" customWidth="1"/>
  </cols>
  <sheetData>
    <row r="1" spans="1:26" ht="23" x14ac:dyDescent="0.45">
      <c r="A1" s="1" t="s">
        <v>0</v>
      </c>
      <c r="B1" s="1"/>
      <c r="C1" s="1"/>
      <c r="F1" s="42" t="s">
        <v>1</v>
      </c>
      <c r="G1" s="43"/>
      <c r="H1" s="43"/>
      <c r="P1" s="1"/>
    </row>
    <row r="2" spans="1:26" ht="30" customHeight="1" x14ac:dyDescent="0.35"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26" ht="14.5" x14ac:dyDescent="0.35">
      <c r="A3" s="3" t="s">
        <v>15</v>
      </c>
      <c r="B3" s="3"/>
      <c r="C3" s="4"/>
      <c r="D3" s="5" t="s">
        <v>6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14</v>
      </c>
      <c r="M3" s="5" t="s">
        <v>3</v>
      </c>
      <c r="N3" s="5" t="s">
        <v>4</v>
      </c>
      <c r="O3" s="5" t="s">
        <v>5</v>
      </c>
      <c r="P3" s="6"/>
    </row>
    <row r="4" spans="1:26" ht="14.5" x14ac:dyDescent="0.35">
      <c r="A4" s="7" t="s">
        <v>23</v>
      </c>
      <c r="B4" s="7" t="s">
        <v>24</v>
      </c>
      <c r="C4" s="8"/>
      <c r="D4" s="9">
        <v>0</v>
      </c>
      <c r="E4" s="8">
        <f t="shared" ref="E4:O4" si="0">D30</f>
        <v>1552236</v>
      </c>
      <c r="F4" s="8">
        <f t="shared" si="0"/>
        <v>3196021.9</v>
      </c>
      <c r="G4" s="8">
        <f t="shared" si="0"/>
        <v>3298257.9</v>
      </c>
      <c r="H4" s="8">
        <f t="shared" si="0"/>
        <v>5775293.9000000004</v>
      </c>
      <c r="I4" s="8">
        <f t="shared" si="0"/>
        <v>6204696.8000000007</v>
      </c>
      <c r="J4" s="8">
        <f t="shared" si="0"/>
        <v>6106932.8000000007</v>
      </c>
      <c r="K4" s="8">
        <f t="shared" si="0"/>
        <v>7568968.8000000007</v>
      </c>
      <c r="L4" s="8">
        <f t="shared" si="0"/>
        <v>7953371.7000000011</v>
      </c>
      <c r="M4" s="8">
        <f t="shared" si="0"/>
        <v>7855607.7000000011</v>
      </c>
      <c r="N4" s="8">
        <f t="shared" si="0"/>
        <v>9225393.7000000011</v>
      </c>
      <c r="O4" s="8">
        <f t="shared" si="0"/>
        <v>9832079.7000000011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6.25" customHeight="1" x14ac:dyDescent="0.35">
      <c r="A5" s="11" t="s">
        <v>25</v>
      </c>
      <c r="B5" s="11" t="s">
        <v>26</v>
      </c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26" ht="14.5" x14ac:dyDescent="0.35">
      <c r="A6" s="14" t="s">
        <v>27</v>
      </c>
      <c r="B6" s="14"/>
      <c r="C6" s="15">
        <f>Income!D5</f>
        <v>5635000</v>
      </c>
      <c r="D6" s="15">
        <f>Income!E5</f>
        <v>1650000</v>
      </c>
      <c r="E6" s="15">
        <f>Income!F5</f>
        <v>0</v>
      </c>
      <c r="F6" s="15">
        <f>Income!G5</f>
        <v>0</v>
      </c>
      <c r="G6" s="15">
        <f>Income!H5</f>
        <v>1700000</v>
      </c>
      <c r="H6" s="15">
        <f>Income!I5</f>
        <v>0</v>
      </c>
      <c r="I6" s="15">
        <f>Income!J5</f>
        <v>0</v>
      </c>
      <c r="J6" s="15">
        <f>Income!K5</f>
        <v>685000</v>
      </c>
      <c r="K6" s="15">
        <f>Income!L5</f>
        <v>0</v>
      </c>
      <c r="L6" s="15">
        <f>Income!M5</f>
        <v>0</v>
      </c>
      <c r="M6" s="15">
        <f>Income!N5</f>
        <v>550000</v>
      </c>
      <c r="N6" s="15">
        <f>Income!O5</f>
        <v>200000</v>
      </c>
      <c r="O6" s="15">
        <f>Income!P5</f>
        <v>850000</v>
      </c>
    </row>
    <row r="7" spans="1:26" ht="14.5" x14ac:dyDescent="0.35">
      <c r="A7" s="14" t="s">
        <v>28</v>
      </c>
      <c r="B7" s="14"/>
      <c r="C7" s="15">
        <f>Income!D12</f>
        <v>600000</v>
      </c>
      <c r="D7" s="15">
        <f>Income!E12</f>
        <v>0</v>
      </c>
      <c r="E7" s="15">
        <f>Income!F12</f>
        <v>0</v>
      </c>
      <c r="F7" s="15">
        <f>Income!G12</f>
        <v>0</v>
      </c>
      <c r="G7" s="15">
        <f>Income!H12</f>
        <v>0</v>
      </c>
      <c r="H7" s="15">
        <f>Income!I12</f>
        <v>0</v>
      </c>
      <c r="I7" s="15">
        <f>Income!J12</f>
        <v>0</v>
      </c>
      <c r="J7" s="15">
        <f>Income!K12</f>
        <v>0</v>
      </c>
      <c r="K7" s="15">
        <f>Income!L12</f>
        <v>0</v>
      </c>
      <c r="L7" s="15">
        <f>Income!M12</f>
        <v>0</v>
      </c>
      <c r="M7" s="15">
        <f>Income!N12</f>
        <v>47500</v>
      </c>
      <c r="N7" s="15">
        <f>Income!O12</f>
        <v>0</v>
      </c>
      <c r="O7" s="15">
        <f>Income!P12</f>
        <v>600000</v>
      </c>
    </row>
    <row r="8" spans="1:26" ht="14.5" x14ac:dyDescent="0.35">
      <c r="A8" s="14" t="s">
        <v>29</v>
      </c>
      <c r="B8" s="14"/>
      <c r="C8" s="15">
        <f>Income!D17</f>
        <v>245000</v>
      </c>
      <c r="D8" s="15">
        <f>Income!E17</f>
        <v>0</v>
      </c>
      <c r="E8" s="15">
        <f>Income!F17</f>
        <v>0</v>
      </c>
      <c r="F8" s="15">
        <f>Income!G17</f>
        <v>200000</v>
      </c>
      <c r="G8" s="15">
        <f>Income!H17</f>
        <v>0</v>
      </c>
      <c r="H8" s="15">
        <f>Income!I17</f>
        <v>45000</v>
      </c>
      <c r="I8" s="15">
        <f>Income!J17</f>
        <v>0</v>
      </c>
      <c r="J8" s="15">
        <f>Income!K17</f>
        <v>0</v>
      </c>
      <c r="K8" s="15">
        <f>Income!L17</f>
        <v>0</v>
      </c>
      <c r="L8" s="15">
        <f>Income!M17</f>
        <v>0</v>
      </c>
      <c r="M8" s="15">
        <f>Income!N17</f>
        <v>0</v>
      </c>
      <c r="N8" s="15">
        <f>Income!O17</f>
        <v>25000</v>
      </c>
      <c r="O8" s="15">
        <f>Income!P17</f>
        <v>0</v>
      </c>
    </row>
    <row r="9" spans="1:26" ht="14.5" x14ac:dyDescent="0.35">
      <c r="A9" s="14" t="s">
        <v>30</v>
      </c>
      <c r="B9" s="14"/>
      <c r="C9" s="15">
        <f>Income!D24</f>
        <v>6570723</v>
      </c>
      <c r="D9" s="15">
        <f>Income!E24</f>
        <v>45000</v>
      </c>
      <c r="E9" s="15">
        <f>Income!F24</f>
        <v>1552741</v>
      </c>
      <c r="F9" s="15">
        <f>Income!G24</f>
        <v>45000</v>
      </c>
      <c r="G9" s="15">
        <f>Income!H24</f>
        <v>1017000</v>
      </c>
      <c r="H9" s="15">
        <f>Income!I24</f>
        <v>580741</v>
      </c>
      <c r="I9" s="15">
        <f>Income!J24</f>
        <v>45000</v>
      </c>
      <c r="J9" s="15">
        <f>Income!K24</f>
        <v>1017000</v>
      </c>
      <c r="K9" s="15">
        <f>Income!L24</f>
        <v>580741</v>
      </c>
      <c r="L9" s="15">
        <f>Income!M24</f>
        <v>45000</v>
      </c>
      <c r="M9" s="15">
        <f>Income!N24</f>
        <v>1017000</v>
      </c>
      <c r="N9" s="15">
        <f>Income!O24</f>
        <v>580500</v>
      </c>
      <c r="O9" s="15">
        <f>Income!P24</f>
        <v>45000</v>
      </c>
    </row>
    <row r="10" spans="1:26" ht="14.5" x14ac:dyDescent="0.35">
      <c r="A10" s="14" t="s">
        <v>31</v>
      </c>
      <c r="B10" s="14"/>
      <c r="C10" s="15">
        <f>Income!D31</f>
        <v>384583</v>
      </c>
      <c r="D10" s="15">
        <f>Income!E31</f>
        <v>0</v>
      </c>
      <c r="E10" s="15">
        <f>Income!F31</f>
        <v>384583</v>
      </c>
      <c r="F10" s="15">
        <f>Income!G31</f>
        <v>0</v>
      </c>
      <c r="G10" s="15">
        <f>Income!H31</f>
        <v>0</v>
      </c>
      <c r="H10" s="15">
        <f>Income!I31</f>
        <v>0</v>
      </c>
      <c r="I10" s="15">
        <f>Income!J31</f>
        <v>0</v>
      </c>
      <c r="J10" s="15">
        <f>Income!K31</f>
        <v>0</v>
      </c>
      <c r="K10" s="15">
        <f>Income!L31</f>
        <v>0</v>
      </c>
      <c r="L10" s="15">
        <f>Income!M31</f>
        <v>0</v>
      </c>
      <c r="M10" s="15">
        <f>Income!N31</f>
        <v>0</v>
      </c>
      <c r="N10" s="15">
        <f>Income!O31</f>
        <v>0</v>
      </c>
      <c r="O10" s="15">
        <f>Income!P31</f>
        <v>0</v>
      </c>
    </row>
    <row r="11" spans="1:26" ht="14.5" x14ac:dyDescent="0.35">
      <c r="A11" s="16"/>
      <c r="B11" s="16"/>
      <c r="C11" s="15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26" ht="14.5" x14ac:dyDescent="0.35">
      <c r="A12" s="18" t="s">
        <v>32</v>
      </c>
      <c r="B12" s="18"/>
      <c r="C12" s="8">
        <f t="shared" ref="C12:O12" si="1">SUM(C6:C11)</f>
        <v>13435306</v>
      </c>
      <c r="D12" s="8">
        <f t="shared" si="1"/>
        <v>1695000</v>
      </c>
      <c r="E12" s="8">
        <f t="shared" si="1"/>
        <v>1937324</v>
      </c>
      <c r="F12" s="8">
        <f t="shared" si="1"/>
        <v>245000</v>
      </c>
      <c r="G12" s="8">
        <f t="shared" si="1"/>
        <v>2717000</v>
      </c>
      <c r="H12" s="8">
        <f t="shared" si="1"/>
        <v>625741</v>
      </c>
      <c r="I12" s="8">
        <f t="shared" si="1"/>
        <v>45000</v>
      </c>
      <c r="J12" s="8">
        <f t="shared" si="1"/>
        <v>1702000</v>
      </c>
      <c r="K12" s="8">
        <f t="shared" si="1"/>
        <v>580741</v>
      </c>
      <c r="L12" s="8">
        <f t="shared" si="1"/>
        <v>45000</v>
      </c>
      <c r="M12" s="8">
        <f t="shared" si="1"/>
        <v>1614500</v>
      </c>
      <c r="N12" s="8">
        <f t="shared" si="1"/>
        <v>805500</v>
      </c>
      <c r="O12" s="8">
        <f t="shared" si="1"/>
        <v>1495000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5" x14ac:dyDescent="0.35">
      <c r="A13" s="19"/>
      <c r="B13" s="19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</row>
    <row r="14" spans="1:26" ht="14.5" x14ac:dyDescent="0.35">
      <c r="A14" s="22" t="s">
        <v>33</v>
      </c>
      <c r="B14" s="22"/>
      <c r="C14" s="23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26" ht="14.5" x14ac:dyDescent="0.35">
      <c r="A15" s="14" t="s">
        <v>34</v>
      </c>
      <c r="B15" s="14"/>
      <c r="C15" s="15">
        <f>Expense!C7</f>
        <v>287500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26" ht="14.5" x14ac:dyDescent="0.35">
      <c r="A16" s="14" t="s">
        <v>35</v>
      </c>
      <c r="B16" s="14"/>
      <c r="C16" s="15">
        <f>Expense!C17</f>
        <v>129100</v>
      </c>
      <c r="D16" s="15"/>
      <c r="E16" s="15"/>
      <c r="F16" s="15"/>
      <c r="G16" s="15"/>
      <c r="H16" s="15"/>
      <c r="I16" s="15"/>
      <c r="J16" s="15"/>
      <c r="K16" s="15"/>
      <c r="L16" s="17"/>
      <c r="M16" s="17"/>
      <c r="N16" s="17"/>
      <c r="O16" s="17"/>
    </row>
    <row r="17" spans="1:16" ht="14.5" x14ac:dyDescent="0.35">
      <c r="A17" s="14" t="s">
        <v>36</v>
      </c>
      <c r="B17" s="14"/>
      <c r="C17" s="15">
        <f>Expense!C23</f>
        <v>89925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6" ht="14.5" x14ac:dyDescent="0.35">
      <c r="A18" s="25"/>
      <c r="B18" s="25"/>
      <c r="C18" s="15"/>
      <c r="D18" s="17"/>
      <c r="E18" s="17"/>
      <c r="F18" s="17"/>
      <c r="G18" s="17"/>
      <c r="H18" s="17"/>
      <c r="I18" s="17"/>
      <c r="J18" s="17"/>
      <c r="K18" s="26"/>
      <c r="L18" s="26"/>
      <c r="M18" s="26"/>
      <c r="N18" s="26"/>
      <c r="O18" s="26"/>
    </row>
    <row r="19" spans="1:16" ht="14.5" x14ac:dyDescent="0.35">
      <c r="A19" s="25" t="s">
        <v>37</v>
      </c>
      <c r="B19" s="25" t="s">
        <v>38</v>
      </c>
      <c r="C19" s="15">
        <f>Expense!C28</f>
        <v>23264</v>
      </c>
      <c r="D19" s="26">
        <v>23264</v>
      </c>
      <c r="E19" s="26">
        <v>23264</v>
      </c>
      <c r="F19" s="26">
        <v>23264</v>
      </c>
      <c r="G19" s="26">
        <v>23264</v>
      </c>
      <c r="H19" s="26">
        <v>23264</v>
      </c>
      <c r="I19" s="26">
        <v>23264</v>
      </c>
      <c r="J19" s="26">
        <v>23264</v>
      </c>
      <c r="K19" s="26">
        <v>23264</v>
      </c>
      <c r="L19" s="26">
        <v>23264</v>
      </c>
      <c r="M19" s="26">
        <v>23264</v>
      </c>
      <c r="N19" s="26">
        <v>23264</v>
      </c>
      <c r="O19" s="26">
        <v>23264</v>
      </c>
    </row>
    <row r="20" spans="1:16" ht="14.5" x14ac:dyDescent="0.35">
      <c r="A20" s="27" t="s">
        <v>39</v>
      </c>
      <c r="B20" s="25" t="s">
        <v>38</v>
      </c>
      <c r="C20" s="15">
        <f>Expense!C32</f>
        <v>120000</v>
      </c>
      <c r="D20" s="17">
        <v>115000</v>
      </c>
      <c r="E20" s="17">
        <v>115000</v>
      </c>
      <c r="F20" s="17">
        <v>115000</v>
      </c>
      <c r="G20" s="17">
        <v>115000</v>
      </c>
      <c r="H20" s="17">
        <v>115000</v>
      </c>
      <c r="I20" s="17">
        <v>115000</v>
      </c>
      <c r="J20" s="17">
        <v>115000</v>
      </c>
      <c r="K20" s="17">
        <v>115000</v>
      </c>
      <c r="L20" s="17">
        <v>115000</v>
      </c>
      <c r="M20" s="17">
        <v>115000</v>
      </c>
      <c r="N20" s="17">
        <v>115000</v>
      </c>
      <c r="O20" s="17">
        <v>115000</v>
      </c>
    </row>
    <row r="21" spans="1:16" ht="15.75" customHeight="1" x14ac:dyDescent="0.35">
      <c r="A21" s="16" t="s">
        <v>40</v>
      </c>
      <c r="B21" s="25" t="s">
        <v>38</v>
      </c>
      <c r="C21" s="15">
        <f>Expense!C29</f>
        <v>0</v>
      </c>
      <c r="D21" s="17">
        <f t="shared" ref="D21:I21" si="2">(SUM(D9))*10%</f>
        <v>4500</v>
      </c>
      <c r="E21" s="17">
        <f t="shared" si="2"/>
        <v>155274.1</v>
      </c>
      <c r="F21" s="17">
        <f t="shared" si="2"/>
        <v>4500</v>
      </c>
      <c r="G21" s="17">
        <f t="shared" si="2"/>
        <v>101700</v>
      </c>
      <c r="H21" s="17">
        <f t="shared" si="2"/>
        <v>58074.100000000006</v>
      </c>
      <c r="I21" s="17">
        <f t="shared" si="2"/>
        <v>4500</v>
      </c>
      <c r="J21" s="17">
        <f t="shared" ref="J21:O21" si="3">SUM(J7:J9)*10%</f>
        <v>101700</v>
      </c>
      <c r="K21" s="17">
        <f t="shared" si="3"/>
        <v>58074.100000000006</v>
      </c>
      <c r="L21" s="17">
        <f t="shared" si="3"/>
        <v>4500</v>
      </c>
      <c r="M21" s="17">
        <f t="shared" si="3"/>
        <v>106450</v>
      </c>
      <c r="N21" s="17">
        <f t="shared" si="3"/>
        <v>60550</v>
      </c>
      <c r="O21" s="17">
        <f t="shared" si="3"/>
        <v>64500</v>
      </c>
    </row>
    <row r="22" spans="1:16" ht="15.75" customHeight="1" x14ac:dyDescent="0.35">
      <c r="A22" s="16"/>
      <c r="B22" s="16"/>
      <c r="C22" s="15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6" ht="15.75" customHeight="1" x14ac:dyDescent="0.35">
      <c r="A23" s="14" t="s">
        <v>41</v>
      </c>
      <c r="B23" s="16"/>
      <c r="C23" s="15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6" ht="15.75" customHeight="1" x14ac:dyDescent="0.35">
      <c r="A24" s="16"/>
      <c r="B24" s="16"/>
      <c r="C24" s="15"/>
      <c r="D24" s="17"/>
      <c r="E24" s="28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6" ht="15.75" customHeight="1" x14ac:dyDescent="0.35">
      <c r="A25" s="16"/>
      <c r="B25" s="16"/>
      <c r="C25" s="15"/>
      <c r="D25" s="17"/>
      <c r="E25" s="28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6" ht="15.75" customHeight="1" x14ac:dyDescent="0.35">
      <c r="A26" s="16"/>
      <c r="B26" s="16"/>
      <c r="C26" s="15"/>
      <c r="D26" s="17"/>
      <c r="E26" s="28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6" ht="15.75" customHeight="1" x14ac:dyDescent="0.35">
      <c r="A27" s="29" t="s">
        <v>42</v>
      </c>
      <c r="B27" s="29"/>
      <c r="C27" s="30">
        <f>SUM(C15:C26)</f>
        <v>649789</v>
      </c>
      <c r="D27" s="30">
        <f t="shared" ref="D27:O27" si="4">SUM(D15:D23)</f>
        <v>142764</v>
      </c>
      <c r="E27" s="30">
        <f t="shared" si="4"/>
        <v>293538.09999999998</v>
      </c>
      <c r="F27" s="30">
        <f t="shared" si="4"/>
        <v>142764</v>
      </c>
      <c r="G27" s="30">
        <f t="shared" si="4"/>
        <v>239964</v>
      </c>
      <c r="H27" s="30">
        <f t="shared" si="4"/>
        <v>196338.1</v>
      </c>
      <c r="I27" s="30">
        <f t="shared" si="4"/>
        <v>142764</v>
      </c>
      <c r="J27" s="30">
        <f t="shared" si="4"/>
        <v>239964</v>
      </c>
      <c r="K27" s="30">
        <f t="shared" si="4"/>
        <v>196338.1</v>
      </c>
      <c r="L27" s="30">
        <f t="shared" si="4"/>
        <v>142764</v>
      </c>
      <c r="M27" s="30">
        <f t="shared" si="4"/>
        <v>244714</v>
      </c>
      <c r="N27" s="30">
        <f t="shared" si="4"/>
        <v>198814</v>
      </c>
      <c r="O27" s="30">
        <f t="shared" si="4"/>
        <v>202764</v>
      </c>
    </row>
    <row r="28" spans="1:16" ht="3" customHeight="1" x14ac:dyDescent="0.35">
      <c r="A28" s="31"/>
      <c r="B28" s="31"/>
      <c r="C28" s="32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 spans="1:16" ht="15.75" customHeight="1" x14ac:dyDescent="0.35">
      <c r="A29" s="29" t="s">
        <v>43</v>
      </c>
      <c r="B29" s="29"/>
      <c r="C29" s="34">
        <f t="shared" ref="C29:O29" si="5">C12-C27</f>
        <v>12785517</v>
      </c>
      <c r="D29" s="34">
        <f t="shared" si="5"/>
        <v>1552236</v>
      </c>
      <c r="E29" s="34">
        <f t="shared" si="5"/>
        <v>1643785.9</v>
      </c>
      <c r="F29" s="34">
        <f t="shared" si="5"/>
        <v>102236</v>
      </c>
      <c r="G29" s="34">
        <f t="shared" si="5"/>
        <v>2477036</v>
      </c>
      <c r="H29" s="34">
        <f t="shared" si="5"/>
        <v>429402.9</v>
      </c>
      <c r="I29" s="34">
        <f t="shared" si="5"/>
        <v>-97764</v>
      </c>
      <c r="J29" s="34">
        <f t="shared" si="5"/>
        <v>1462036</v>
      </c>
      <c r="K29" s="34">
        <f t="shared" si="5"/>
        <v>384402.9</v>
      </c>
      <c r="L29" s="34">
        <f t="shared" si="5"/>
        <v>-97764</v>
      </c>
      <c r="M29" s="34">
        <f t="shared" si="5"/>
        <v>1369786</v>
      </c>
      <c r="N29" s="34">
        <f t="shared" si="5"/>
        <v>606686</v>
      </c>
      <c r="O29" s="34">
        <f t="shared" si="5"/>
        <v>1292236</v>
      </c>
    </row>
    <row r="30" spans="1:16" ht="15.75" customHeight="1" x14ac:dyDescent="0.35">
      <c r="A30" s="29" t="s">
        <v>44</v>
      </c>
      <c r="B30" s="29"/>
      <c r="C30" s="34"/>
      <c r="D30" s="35">
        <f t="shared" ref="D30:O30" si="6">(D4+D12)-D27</f>
        <v>1552236</v>
      </c>
      <c r="E30" s="35">
        <f t="shared" si="6"/>
        <v>3196021.9</v>
      </c>
      <c r="F30" s="35">
        <f t="shared" si="6"/>
        <v>3298257.9</v>
      </c>
      <c r="G30" s="35">
        <f t="shared" si="6"/>
        <v>5775293.9000000004</v>
      </c>
      <c r="H30" s="35">
        <f t="shared" si="6"/>
        <v>6204696.8000000007</v>
      </c>
      <c r="I30" s="35">
        <f t="shared" si="6"/>
        <v>6106932.8000000007</v>
      </c>
      <c r="J30" s="35">
        <f t="shared" si="6"/>
        <v>7568968.8000000007</v>
      </c>
      <c r="K30" s="35">
        <f t="shared" si="6"/>
        <v>7953371.7000000011</v>
      </c>
      <c r="L30" s="35">
        <f t="shared" si="6"/>
        <v>7855607.7000000011</v>
      </c>
      <c r="M30" s="35">
        <f t="shared" si="6"/>
        <v>9225393.7000000011</v>
      </c>
      <c r="N30" s="35">
        <f t="shared" si="6"/>
        <v>9832079.7000000011</v>
      </c>
      <c r="O30" s="35">
        <f t="shared" si="6"/>
        <v>11124315.700000001</v>
      </c>
      <c r="P30" s="36"/>
    </row>
    <row r="31" spans="1:16" ht="15.75" customHeight="1" x14ac:dyDescent="0.35">
      <c r="A31" s="37"/>
      <c r="B31" s="37"/>
      <c r="C31" s="37"/>
    </row>
    <row r="32" spans="1:1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F1:H1"/>
  </mergeCells>
  <conditionalFormatting sqref="D30:O30">
    <cfRule type="cellIs" dxfId="0" priority="1" stopIfTrue="1" operator="lessThan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Z997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11" sqref="C11"/>
    </sheetView>
  </sheetViews>
  <sheetFormatPr defaultColWidth="14.453125" defaultRowHeight="15" customHeight="1" x14ac:dyDescent="0.35"/>
  <cols>
    <col min="1" max="1" width="33.453125" customWidth="1"/>
    <col min="2" max="3" width="14.54296875" customWidth="1"/>
    <col min="4" max="4" width="23.08984375" customWidth="1"/>
    <col min="5" max="5" width="20.08984375" customWidth="1"/>
    <col min="6" max="6" width="17.6328125" customWidth="1"/>
    <col min="7" max="7" width="18.54296875" customWidth="1"/>
    <col min="8" max="9" width="17.6328125" customWidth="1"/>
    <col min="10" max="11" width="20.90625" customWidth="1"/>
    <col min="12" max="12" width="21.6328125" customWidth="1"/>
    <col min="13" max="13" width="24" customWidth="1"/>
    <col min="14" max="15" width="22.36328125" customWidth="1"/>
    <col min="16" max="16" width="21.6328125" customWidth="1"/>
    <col min="17" max="26" width="24.6328125" customWidth="1"/>
  </cols>
  <sheetData>
    <row r="1" spans="1:17" ht="23" x14ac:dyDescent="0.45">
      <c r="A1" s="1" t="s">
        <v>0</v>
      </c>
      <c r="B1" s="1"/>
      <c r="C1" s="1"/>
      <c r="D1" s="1"/>
      <c r="G1" s="42" t="s">
        <v>1</v>
      </c>
      <c r="H1" s="43"/>
      <c r="I1" s="43"/>
      <c r="Q1" s="1"/>
    </row>
    <row r="2" spans="1:17" ht="30" customHeight="1" x14ac:dyDescent="0.35">
      <c r="C2" s="2" t="s">
        <v>45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</row>
    <row r="3" spans="1:17" ht="14.5" x14ac:dyDescent="0.35">
      <c r="A3" s="3" t="s">
        <v>15</v>
      </c>
      <c r="B3" s="3"/>
      <c r="C3" s="3"/>
      <c r="D3" s="4"/>
      <c r="E3" s="5" t="s">
        <v>6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14</v>
      </c>
      <c r="N3" s="5" t="s">
        <v>3</v>
      </c>
      <c r="O3" s="5" t="s">
        <v>4</v>
      </c>
      <c r="P3" s="5" t="s">
        <v>5</v>
      </c>
      <c r="Q3" s="6"/>
    </row>
    <row r="4" spans="1:17" ht="26.25" customHeight="1" x14ac:dyDescent="0.35">
      <c r="A4" s="11" t="s">
        <v>25</v>
      </c>
      <c r="B4" s="11" t="s">
        <v>26</v>
      </c>
      <c r="C4" s="11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7" ht="14.5" x14ac:dyDescent="0.35">
      <c r="A5" s="14" t="s">
        <v>27</v>
      </c>
      <c r="B5" s="14"/>
      <c r="C5" s="14"/>
      <c r="D5" s="15">
        <f t="shared" ref="D5:P5" si="0">SUM(D6:D10)</f>
        <v>5635000</v>
      </c>
      <c r="E5" s="15">
        <f t="shared" si="0"/>
        <v>1650000</v>
      </c>
      <c r="F5" s="15">
        <f t="shared" si="0"/>
        <v>0</v>
      </c>
      <c r="G5" s="15">
        <f t="shared" si="0"/>
        <v>0</v>
      </c>
      <c r="H5" s="15">
        <f t="shared" si="0"/>
        <v>1700000</v>
      </c>
      <c r="I5" s="15">
        <f t="shared" si="0"/>
        <v>0</v>
      </c>
      <c r="J5" s="15">
        <f t="shared" si="0"/>
        <v>0</v>
      </c>
      <c r="K5" s="15">
        <f t="shared" si="0"/>
        <v>685000</v>
      </c>
      <c r="L5" s="15">
        <f t="shared" si="0"/>
        <v>0</v>
      </c>
      <c r="M5" s="15">
        <f t="shared" si="0"/>
        <v>0</v>
      </c>
      <c r="N5" s="15">
        <f t="shared" si="0"/>
        <v>550000</v>
      </c>
      <c r="O5" s="15">
        <f t="shared" si="0"/>
        <v>200000</v>
      </c>
      <c r="P5" s="15">
        <f t="shared" si="0"/>
        <v>850000</v>
      </c>
    </row>
    <row r="6" spans="1:17" ht="14.5" x14ac:dyDescent="0.35">
      <c r="A6" s="27" t="s">
        <v>46</v>
      </c>
      <c r="B6" s="27" t="s">
        <v>47</v>
      </c>
      <c r="C6" s="15">
        <v>450000</v>
      </c>
      <c r="D6" s="40">
        <f t="shared" ref="D6:D9" si="1">SUM(E6:P6)</f>
        <v>335000</v>
      </c>
      <c r="E6" s="17"/>
      <c r="F6" s="17"/>
      <c r="G6" s="17"/>
      <c r="H6" s="17"/>
      <c r="I6" s="17"/>
      <c r="J6" s="17"/>
      <c r="K6" s="41">
        <v>135000</v>
      </c>
      <c r="L6" s="17"/>
      <c r="M6" s="17"/>
      <c r="N6" s="17"/>
      <c r="O6" s="41">
        <v>200000</v>
      </c>
      <c r="P6" s="17"/>
    </row>
    <row r="7" spans="1:17" ht="14.5" x14ac:dyDescent="0.35">
      <c r="A7" s="27" t="s">
        <v>48</v>
      </c>
      <c r="B7" s="27" t="s">
        <v>47</v>
      </c>
      <c r="C7" s="15">
        <v>300000</v>
      </c>
      <c r="D7" s="15">
        <f t="shared" si="1"/>
        <v>300000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300000</v>
      </c>
    </row>
    <row r="8" spans="1:17" ht="14.5" x14ac:dyDescent="0.35">
      <c r="A8" s="27" t="s">
        <v>49</v>
      </c>
      <c r="B8" s="27" t="s">
        <v>47</v>
      </c>
      <c r="C8" s="15">
        <v>100000</v>
      </c>
      <c r="D8" s="15">
        <f t="shared" si="1"/>
        <v>50000</v>
      </c>
      <c r="E8" s="17"/>
      <c r="F8" s="17"/>
      <c r="G8" s="17"/>
      <c r="H8" s="17">
        <v>50000</v>
      </c>
      <c r="I8" s="17"/>
      <c r="J8" s="17"/>
      <c r="K8" s="17"/>
      <c r="L8" s="17"/>
      <c r="M8" s="17"/>
      <c r="N8" s="17"/>
      <c r="O8" s="17"/>
      <c r="P8" s="17"/>
    </row>
    <row r="9" spans="1:17" ht="14.5" x14ac:dyDescent="0.35">
      <c r="A9" s="27" t="s">
        <v>69</v>
      </c>
      <c r="B9" s="27" t="s">
        <v>47</v>
      </c>
      <c r="C9" s="15">
        <v>5500000</v>
      </c>
      <c r="D9" s="15">
        <f t="shared" si="1"/>
        <v>4950000</v>
      </c>
      <c r="E9" s="17">
        <v>1650000</v>
      </c>
      <c r="F9" s="17"/>
      <c r="G9" s="17"/>
      <c r="H9" s="17">
        <v>1650000</v>
      </c>
      <c r="I9" s="17"/>
      <c r="J9" s="17"/>
      <c r="K9" s="17">
        <v>550000</v>
      </c>
      <c r="L9" s="17"/>
      <c r="M9" s="17"/>
      <c r="N9" s="17">
        <v>550000</v>
      </c>
      <c r="O9" s="17"/>
      <c r="P9" s="17">
        <v>550000</v>
      </c>
    </row>
    <row r="10" spans="1:17" ht="14.5" x14ac:dyDescent="0.35">
      <c r="A10" s="27"/>
      <c r="B10" s="27"/>
      <c r="C10" s="27"/>
      <c r="D10" s="15">
        <f>SUM(E10:P10)</f>
        <v>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7" ht="14.5" x14ac:dyDescent="0.35">
      <c r="A11" s="27"/>
      <c r="B11" s="27"/>
      <c r="C11" s="27"/>
      <c r="D11" s="15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7" ht="14.5" x14ac:dyDescent="0.35">
      <c r="A12" s="14" t="s">
        <v>28</v>
      </c>
      <c r="B12" s="14"/>
      <c r="C12" s="14"/>
      <c r="D12" s="15">
        <f t="shared" ref="D12:P12" si="2">SUM(D13:D15)</f>
        <v>600000</v>
      </c>
      <c r="E12" s="15">
        <f t="shared" si="2"/>
        <v>0</v>
      </c>
      <c r="F12" s="15">
        <f t="shared" si="2"/>
        <v>0</v>
      </c>
      <c r="G12" s="15">
        <f t="shared" si="2"/>
        <v>0</v>
      </c>
      <c r="H12" s="15">
        <f t="shared" si="2"/>
        <v>0</v>
      </c>
      <c r="I12" s="15">
        <f t="shared" si="2"/>
        <v>0</v>
      </c>
      <c r="J12" s="15">
        <f t="shared" si="2"/>
        <v>0</v>
      </c>
      <c r="K12" s="15">
        <f t="shared" si="2"/>
        <v>0</v>
      </c>
      <c r="L12" s="15">
        <f t="shared" si="2"/>
        <v>0</v>
      </c>
      <c r="M12" s="15">
        <f t="shared" si="2"/>
        <v>0</v>
      </c>
      <c r="N12" s="15">
        <f t="shared" si="2"/>
        <v>47500</v>
      </c>
      <c r="O12" s="15">
        <f t="shared" si="2"/>
        <v>0</v>
      </c>
      <c r="P12" s="15">
        <f t="shared" si="2"/>
        <v>600000</v>
      </c>
    </row>
    <row r="13" spans="1:17" ht="14.5" x14ac:dyDescent="0.35">
      <c r="A13" s="27" t="s">
        <v>50</v>
      </c>
      <c r="B13" s="27" t="s">
        <v>51</v>
      </c>
      <c r="C13" s="15">
        <v>600000</v>
      </c>
      <c r="D13" s="15">
        <f>SUM(E13:P13)</f>
        <v>600000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600000</v>
      </c>
    </row>
    <row r="14" spans="1:17" ht="14.5" x14ac:dyDescent="0.35">
      <c r="A14" s="27"/>
      <c r="B14" s="27"/>
      <c r="C14" s="15"/>
      <c r="D14" s="15"/>
      <c r="E14" s="17"/>
      <c r="F14" s="17"/>
      <c r="G14" s="17"/>
      <c r="H14" s="17"/>
      <c r="I14" s="17"/>
      <c r="J14" s="17"/>
      <c r="K14" s="17"/>
      <c r="L14" s="17"/>
      <c r="M14" s="17"/>
      <c r="N14" s="17">
        <f>95000/2</f>
        <v>47500</v>
      </c>
      <c r="O14" s="17"/>
      <c r="P14" s="17"/>
    </row>
    <row r="15" spans="1:17" ht="14.5" x14ac:dyDescent="0.35">
      <c r="A15" s="27"/>
      <c r="B15" s="27"/>
      <c r="C15" s="15"/>
      <c r="D15" s="15">
        <f>SUM(E15:P15)</f>
        <v>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spans="1:17" ht="14.5" x14ac:dyDescent="0.35">
      <c r="A16" s="27"/>
      <c r="B16" s="27"/>
      <c r="C16" s="15"/>
      <c r="D16" s="15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1:16" ht="14.5" x14ac:dyDescent="0.35">
      <c r="A17" s="14" t="s">
        <v>29</v>
      </c>
      <c r="B17" s="14"/>
      <c r="C17" s="15"/>
      <c r="D17" s="15">
        <f t="shared" ref="D17:P17" si="3">SUM(D18:D22)</f>
        <v>245000</v>
      </c>
      <c r="E17" s="15">
        <f t="shared" si="3"/>
        <v>0</v>
      </c>
      <c r="F17" s="15">
        <f t="shared" si="3"/>
        <v>0</v>
      </c>
      <c r="G17" s="15">
        <f t="shared" si="3"/>
        <v>200000</v>
      </c>
      <c r="H17" s="15">
        <f t="shared" si="3"/>
        <v>0</v>
      </c>
      <c r="I17" s="15">
        <f t="shared" si="3"/>
        <v>45000</v>
      </c>
      <c r="J17" s="15">
        <f t="shared" si="3"/>
        <v>0</v>
      </c>
      <c r="K17" s="15">
        <f t="shared" si="3"/>
        <v>0</v>
      </c>
      <c r="L17" s="15">
        <f t="shared" si="3"/>
        <v>0</v>
      </c>
      <c r="M17" s="15">
        <f t="shared" si="3"/>
        <v>0</v>
      </c>
      <c r="N17" s="15">
        <f t="shared" si="3"/>
        <v>0</v>
      </c>
      <c r="O17" s="15">
        <f t="shared" si="3"/>
        <v>25000</v>
      </c>
      <c r="P17" s="15">
        <f t="shared" si="3"/>
        <v>0</v>
      </c>
    </row>
    <row r="18" spans="1:16" ht="14.5" x14ac:dyDescent="0.35">
      <c r="A18" s="27" t="s">
        <v>52</v>
      </c>
      <c r="B18" s="27" t="s">
        <v>53</v>
      </c>
      <c r="C18" s="15">
        <v>150000</v>
      </c>
      <c r="D18" s="15">
        <f>SUM(E18:P18)</f>
        <v>150000</v>
      </c>
      <c r="E18" s="17"/>
      <c r="F18" s="17"/>
      <c r="G18" s="17">
        <v>150000</v>
      </c>
      <c r="H18" s="17"/>
      <c r="I18" s="17"/>
      <c r="J18" s="17"/>
      <c r="K18" s="17"/>
      <c r="L18" s="17"/>
      <c r="M18" s="17"/>
      <c r="N18" s="15"/>
      <c r="O18" s="17"/>
      <c r="P18" s="17"/>
    </row>
    <row r="19" spans="1:16" ht="14.5" x14ac:dyDescent="0.35">
      <c r="A19" s="27" t="s">
        <v>54</v>
      </c>
      <c r="B19" s="27" t="s">
        <v>55</v>
      </c>
      <c r="C19" s="15">
        <v>45000</v>
      </c>
      <c r="D19" s="15">
        <f t="shared" ref="D19:D20" si="4">SUM(E19:P19)</f>
        <v>45000</v>
      </c>
      <c r="E19" s="17"/>
      <c r="F19" s="17"/>
      <c r="G19" s="17"/>
      <c r="H19" s="17"/>
      <c r="I19" s="17">
        <v>45000</v>
      </c>
      <c r="J19" s="17"/>
      <c r="K19" s="17"/>
      <c r="L19" s="17"/>
      <c r="M19" s="17"/>
      <c r="N19" s="17"/>
      <c r="O19" s="17"/>
      <c r="P19" s="17"/>
    </row>
    <row r="20" spans="1:16" ht="14.5" x14ac:dyDescent="0.35">
      <c r="A20" s="27" t="s">
        <v>56</v>
      </c>
      <c r="B20" s="27" t="s">
        <v>57</v>
      </c>
      <c r="C20" s="15">
        <v>50000</v>
      </c>
      <c r="D20" s="15">
        <f t="shared" si="4"/>
        <v>50000</v>
      </c>
      <c r="E20" s="17"/>
      <c r="F20" s="17"/>
      <c r="G20" s="17">
        <v>50000</v>
      </c>
      <c r="H20" s="17"/>
      <c r="I20" s="17"/>
      <c r="J20" s="17"/>
      <c r="K20" s="17"/>
      <c r="L20" s="17"/>
      <c r="M20" s="17"/>
      <c r="N20" s="17"/>
      <c r="O20" s="17"/>
      <c r="P20" s="17"/>
    </row>
    <row r="21" spans="1:16" ht="15.75" customHeight="1" x14ac:dyDescent="0.35">
      <c r="A21" s="27"/>
      <c r="B21" s="27"/>
      <c r="C21" s="15"/>
      <c r="D21" s="15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>
        <v>25000</v>
      </c>
      <c r="P21" s="17"/>
    </row>
    <row r="22" spans="1:16" ht="15.75" customHeight="1" x14ac:dyDescent="0.35">
      <c r="A22" s="27"/>
      <c r="B22" s="27"/>
      <c r="C22" s="15"/>
      <c r="D22" s="15">
        <f>SUM(E22:P22)</f>
        <v>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1:16" ht="15.75" customHeight="1" x14ac:dyDescent="0.35">
      <c r="A23" s="38"/>
      <c r="B23" s="38"/>
      <c r="C23" s="15"/>
      <c r="D23" s="15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spans="1:16" ht="15.75" customHeight="1" x14ac:dyDescent="0.35">
      <c r="A24" s="14" t="s">
        <v>30</v>
      </c>
      <c r="B24" s="14"/>
      <c r="C24" s="15"/>
      <c r="D24" s="15">
        <f t="shared" ref="D24:P24" si="5">SUM(D25:D28)</f>
        <v>6570723</v>
      </c>
      <c r="E24" s="15">
        <f t="shared" si="5"/>
        <v>45000</v>
      </c>
      <c r="F24" s="15">
        <f t="shared" si="5"/>
        <v>1552741</v>
      </c>
      <c r="G24" s="15">
        <f t="shared" si="5"/>
        <v>45000</v>
      </c>
      <c r="H24" s="15">
        <f t="shared" si="5"/>
        <v>1017000</v>
      </c>
      <c r="I24" s="15">
        <f t="shared" si="5"/>
        <v>580741</v>
      </c>
      <c r="J24" s="15">
        <f t="shared" si="5"/>
        <v>45000</v>
      </c>
      <c r="K24" s="15">
        <f t="shared" si="5"/>
        <v>1017000</v>
      </c>
      <c r="L24" s="15">
        <f t="shared" si="5"/>
        <v>580741</v>
      </c>
      <c r="M24" s="15">
        <f t="shared" si="5"/>
        <v>45000</v>
      </c>
      <c r="N24" s="15">
        <f t="shared" si="5"/>
        <v>1017000</v>
      </c>
      <c r="O24" s="15">
        <f t="shared" si="5"/>
        <v>580500</v>
      </c>
      <c r="P24" s="15">
        <f t="shared" si="5"/>
        <v>45000</v>
      </c>
    </row>
    <row r="25" spans="1:16" ht="15.75" customHeight="1" x14ac:dyDescent="0.35">
      <c r="A25" s="27" t="s">
        <v>53</v>
      </c>
      <c r="B25" s="27" t="s">
        <v>53</v>
      </c>
      <c r="C25" s="15"/>
      <c r="D25" s="15">
        <f t="shared" ref="D25:D28" si="6">SUM(E25:P25)</f>
        <v>1652723</v>
      </c>
      <c r="E25" s="15"/>
      <c r="F25" s="17">
        <v>413241</v>
      </c>
      <c r="G25" s="17"/>
      <c r="H25" s="15"/>
      <c r="I25" s="17">
        <v>413241</v>
      </c>
      <c r="J25" s="17"/>
      <c r="K25" s="15"/>
      <c r="L25" s="17">
        <v>413241</v>
      </c>
      <c r="M25" s="17"/>
      <c r="N25" s="17"/>
      <c r="O25" s="17">
        <v>413000</v>
      </c>
      <c r="P25" s="17"/>
    </row>
    <row r="26" spans="1:16" ht="15.75" customHeight="1" x14ac:dyDescent="0.35">
      <c r="A26" s="16" t="s">
        <v>58</v>
      </c>
      <c r="B26" s="16" t="s">
        <v>58</v>
      </c>
      <c r="C26" s="15"/>
      <c r="D26" s="15">
        <f t="shared" si="6"/>
        <v>540000</v>
      </c>
      <c r="E26" s="15">
        <v>45000</v>
      </c>
      <c r="F26" s="15">
        <v>45000</v>
      </c>
      <c r="G26" s="15">
        <v>45000</v>
      </c>
      <c r="H26" s="15">
        <v>45000</v>
      </c>
      <c r="I26" s="15">
        <v>45000</v>
      </c>
      <c r="J26" s="15">
        <v>45000</v>
      </c>
      <c r="K26" s="15">
        <v>45000</v>
      </c>
      <c r="L26" s="15">
        <v>45000</v>
      </c>
      <c r="M26" s="15">
        <v>45000</v>
      </c>
      <c r="N26" s="15">
        <v>45000</v>
      </c>
      <c r="O26" s="17">
        <v>45000</v>
      </c>
      <c r="P26" s="17">
        <v>45000</v>
      </c>
    </row>
    <row r="27" spans="1:16" ht="15.75" customHeight="1" x14ac:dyDescent="0.35">
      <c r="A27" s="16" t="s">
        <v>59</v>
      </c>
      <c r="B27" s="16" t="s">
        <v>59</v>
      </c>
      <c r="C27" s="15"/>
      <c r="D27" s="15">
        <f t="shared" si="6"/>
        <v>490000</v>
      </c>
      <c r="E27" s="15"/>
      <c r="F27" s="17">
        <v>122500</v>
      </c>
      <c r="G27" s="17"/>
      <c r="H27" s="15"/>
      <c r="I27" s="17">
        <v>122500</v>
      </c>
      <c r="J27" s="17"/>
      <c r="K27" s="15"/>
      <c r="L27" s="17">
        <v>122500</v>
      </c>
      <c r="M27" s="17"/>
      <c r="N27" s="17"/>
      <c r="O27" s="17">
        <v>122500</v>
      </c>
      <c r="P27" s="17"/>
    </row>
    <row r="28" spans="1:16" ht="15.75" customHeight="1" x14ac:dyDescent="0.35">
      <c r="A28" s="16" t="s">
        <v>60</v>
      </c>
      <c r="B28" s="16" t="s">
        <v>61</v>
      </c>
      <c r="C28" s="15"/>
      <c r="D28" s="15">
        <f t="shared" si="6"/>
        <v>3888000</v>
      </c>
      <c r="E28" s="17"/>
      <c r="F28" s="17">
        <f>108000*3*3</f>
        <v>972000</v>
      </c>
      <c r="G28" s="17"/>
      <c r="H28" s="17">
        <f>108000*3*3</f>
        <v>972000</v>
      </c>
      <c r="I28" s="17"/>
      <c r="J28" s="17"/>
      <c r="K28" s="17">
        <f>108000*3*3</f>
        <v>972000</v>
      </c>
      <c r="L28" s="17"/>
      <c r="M28" s="17"/>
      <c r="N28" s="17">
        <f>108000*3*3</f>
        <v>972000</v>
      </c>
      <c r="O28" s="17"/>
      <c r="P28" s="17"/>
    </row>
    <row r="29" spans="1:16" ht="15.75" customHeight="1" x14ac:dyDescent="0.35">
      <c r="A29" s="16"/>
      <c r="B29" s="16"/>
      <c r="C29" s="15"/>
      <c r="D29" s="15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ht="15.75" customHeight="1" x14ac:dyDescent="0.35">
      <c r="A30" s="16"/>
      <c r="B30" s="16"/>
      <c r="C30" s="15"/>
      <c r="D30" s="15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ht="15.75" customHeight="1" x14ac:dyDescent="0.35">
      <c r="A31" s="14" t="s">
        <v>31</v>
      </c>
      <c r="B31" s="14"/>
      <c r="C31" s="15"/>
      <c r="D31" s="15">
        <f t="shared" ref="D31:P31" si="7">SUM(D32:D40)</f>
        <v>384583</v>
      </c>
      <c r="E31" s="15">
        <f t="shared" si="7"/>
        <v>0</v>
      </c>
      <c r="F31" s="15">
        <f t="shared" si="7"/>
        <v>384583</v>
      </c>
      <c r="G31" s="15">
        <f t="shared" si="7"/>
        <v>0</v>
      </c>
      <c r="H31" s="15">
        <f t="shared" si="7"/>
        <v>0</v>
      </c>
      <c r="I31" s="15">
        <f t="shared" si="7"/>
        <v>0</v>
      </c>
      <c r="J31" s="15">
        <f t="shared" si="7"/>
        <v>0</v>
      </c>
      <c r="K31" s="15">
        <f t="shared" si="7"/>
        <v>0</v>
      </c>
      <c r="L31" s="15">
        <f t="shared" si="7"/>
        <v>0</v>
      </c>
      <c r="M31" s="15">
        <f t="shared" si="7"/>
        <v>0</v>
      </c>
      <c r="N31" s="15">
        <f t="shared" si="7"/>
        <v>0</v>
      </c>
      <c r="O31" s="15">
        <f t="shared" si="7"/>
        <v>0</v>
      </c>
      <c r="P31" s="15">
        <f t="shared" si="7"/>
        <v>0</v>
      </c>
    </row>
    <row r="32" spans="1:16" ht="15.75" customHeight="1" x14ac:dyDescent="0.35">
      <c r="A32" s="16" t="s">
        <v>62</v>
      </c>
      <c r="B32" s="16" t="s">
        <v>53</v>
      </c>
      <c r="C32" s="15"/>
      <c r="D32" s="15">
        <f t="shared" ref="D32:D40" si="8">SUM(E32:P32)</f>
        <v>384583</v>
      </c>
      <c r="E32" s="17"/>
      <c r="F32" s="17">
        <v>384583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ht="15.75" customHeight="1" x14ac:dyDescent="0.35">
      <c r="A33" s="16"/>
      <c r="B33" s="16"/>
      <c r="C33" s="15"/>
      <c r="D33" s="15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ht="15.75" customHeight="1" x14ac:dyDescent="0.35">
      <c r="A34" s="16"/>
      <c r="B34" s="16"/>
      <c r="C34" s="15"/>
      <c r="D34" s="15">
        <f t="shared" si="8"/>
        <v>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ht="15.75" customHeight="1" x14ac:dyDescent="0.35">
      <c r="A35" s="16"/>
      <c r="B35" s="16"/>
      <c r="C35" s="15"/>
      <c r="D35" s="15">
        <f t="shared" si="8"/>
        <v>0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ht="15.75" customHeight="1" x14ac:dyDescent="0.35">
      <c r="A36" s="16"/>
      <c r="B36" s="16"/>
      <c r="C36" s="15"/>
      <c r="D36" s="15">
        <f t="shared" si="8"/>
        <v>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ht="15.75" customHeight="1" x14ac:dyDescent="0.35">
      <c r="A37" s="16"/>
      <c r="B37" s="16"/>
      <c r="C37" s="15"/>
      <c r="D37" s="15">
        <f t="shared" si="8"/>
        <v>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ht="15.75" customHeight="1" x14ac:dyDescent="0.35">
      <c r="A38" s="16"/>
      <c r="B38" s="16"/>
      <c r="C38" s="15"/>
      <c r="D38" s="15">
        <f t="shared" si="8"/>
        <v>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ht="15.75" customHeight="1" x14ac:dyDescent="0.35">
      <c r="A39" s="16"/>
      <c r="B39" s="16"/>
      <c r="C39" s="15"/>
      <c r="D39" s="15">
        <f t="shared" si="8"/>
        <v>0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16" ht="15.75" customHeight="1" x14ac:dyDescent="0.35">
      <c r="A40" s="16"/>
      <c r="B40" s="16"/>
      <c r="C40" s="15"/>
      <c r="D40" s="15">
        <f t="shared" si="8"/>
        <v>0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16" ht="15.75" customHeight="1" x14ac:dyDescent="0.35">
      <c r="A41" s="14" t="s">
        <v>63</v>
      </c>
      <c r="B41" s="14"/>
      <c r="C41" s="15"/>
      <c r="D41" s="15">
        <f t="shared" ref="D41:O41" si="9">SUM(D42:D50)</f>
        <v>0</v>
      </c>
      <c r="E41" s="15">
        <f t="shared" si="9"/>
        <v>0</v>
      </c>
      <c r="F41" s="15">
        <f t="shared" si="9"/>
        <v>0</v>
      </c>
      <c r="G41" s="15">
        <f t="shared" si="9"/>
        <v>0</v>
      </c>
      <c r="H41" s="15">
        <f t="shared" si="9"/>
        <v>0</v>
      </c>
      <c r="I41" s="15">
        <f t="shared" si="9"/>
        <v>0</v>
      </c>
      <c r="J41" s="15">
        <f t="shared" si="9"/>
        <v>0</v>
      </c>
      <c r="K41" s="15">
        <f t="shared" si="9"/>
        <v>0</v>
      </c>
      <c r="L41" s="15">
        <f t="shared" si="9"/>
        <v>0</v>
      </c>
      <c r="M41" s="15">
        <f t="shared" si="9"/>
        <v>0</v>
      </c>
      <c r="N41" s="15">
        <f t="shared" si="9"/>
        <v>0</v>
      </c>
      <c r="O41" s="15">
        <f t="shared" si="9"/>
        <v>0</v>
      </c>
      <c r="P41" s="15"/>
    </row>
    <row r="42" spans="1:16" ht="15.75" customHeight="1" x14ac:dyDescent="0.35">
      <c r="A42" s="16"/>
      <c r="B42" s="16"/>
      <c r="C42" s="15"/>
      <c r="D42" s="15">
        <f t="shared" ref="D42:D50" si="10">SUM(E42:P42)</f>
        <v>0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1:16" ht="26" customHeight="1" x14ac:dyDescent="0.35">
      <c r="A43" s="16"/>
      <c r="B43" s="16"/>
      <c r="C43" s="15"/>
      <c r="D43" s="15">
        <f t="shared" si="10"/>
        <v>0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16" ht="15.75" customHeight="1" x14ac:dyDescent="0.35">
      <c r="A44" s="16"/>
      <c r="B44" s="16"/>
      <c r="C44" s="15"/>
      <c r="D44" s="15">
        <f t="shared" si="10"/>
        <v>0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spans="1:16" ht="15.75" customHeight="1" x14ac:dyDescent="0.35">
      <c r="A45" s="16"/>
      <c r="B45" s="16"/>
      <c r="C45" s="15"/>
      <c r="D45" s="15">
        <f t="shared" si="10"/>
        <v>0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16" ht="15.75" customHeight="1" x14ac:dyDescent="0.35">
      <c r="A46" s="16"/>
      <c r="B46" s="16"/>
      <c r="C46" s="15"/>
      <c r="D46" s="15">
        <f t="shared" si="10"/>
        <v>0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spans="1:16" ht="15.75" customHeight="1" x14ac:dyDescent="0.35">
      <c r="A47" s="16"/>
      <c r="B47" s="16"/>
      <c r="C47" s="15"/>
      <c r="D47" s="15">
        <f t="shared" si="10"/>
        <v>0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spans="1:16" ht="15.75" customHeight="1" x14ac:dyDescent="0.35">
      <c r="A48" s="16"/>
      <c r="B48" s="16"/>
      <c r="C48" s="15"/>
      <c r="D48" s="15">
        <f t="shared" si="10"/>
        <v>0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spans="1:26" ht="15.75" customHeight="1" x14ac:dyDescent="0.35">
      <c r="A49" s="16"/>
      <c r="B49" s="16"/>
      <c r="C49" s="15"/>
      <c r="D49" s="15">
        <f t="shared" si="10"/>
        <v>0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1:26" ht="15.75" customHeight="1" x14ac:dyDescent="0.35">
      <c r="A50" s="16"/>
      <c r="B50" s="16"/>
      <c r="C50" s="15"/>
      <c r="D50" s="15">
        <f t="shared" si="10"/>
        <v>0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1:26" ht="15.75" customHeight="1" x14ac:dyDescent="0.35">
      <c r="A51" s="14" t="s">
        <v>64</v>
      </c>
      <c r="B51" s="16"/>
      <c r="C51" s="15"/>
      <c r="D51" s="15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1:26" ht="15.75" customHeight="1" x14ac:dyDescent="0.35">
      <c r="A52" s="16"/>
      <c r="B52" s="16"/>
      <c r="C52" s="15"/>
      <c r="D52" s="15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1:26" ht="15.75" customHeight="1" x14ac:dyDescent="0.35">
      <c r="A53" s="18" t="s">
        <v>32</v>
      </c>
      <c r="B53" s="18"/>
      <c r="C53" s="15"/>
      <c r="D53" s="8">
        <f t="shared" ref="D53:P53" si="11">D31+D24+D17+D12+D5</f>
        <v>13435306</v>
      </c>
      <c r="E53" s="8">
        <f t="shared" si="11"/>
        <v>1695000</v>
      </c>
      <c r="F53" s="8">
        <f t="shared" si="11"/>
        <v>1937324</v>
      </c>
      <c r="G53" s="8">
        <f t="shared" si="11"/>
        <v>245000</v>
      </c>
      <c r="H53" s="8">
        <f t="shared" si="11"/>
        <v>2717000</v>
      </c>
      <c r="I53" s="8">
        <f t="shared" si="11"/>
        <v>625741</v>
      </c>
      <c r="J53" s="8">
        <f t="shared" si="11"/>
        <v>45000</v>
      </c>
      <c r="K53" s="8">
        <f t="shared" si="11"/>
        <v>1702000</v>
      </c>
      <c r="L53" s="8">
        <f t="shared" si="11"/>
        <v>580741</v>
      </c>
      <c r="M53" s="8">
        <f t="shared" si="11"/>
        <v>45000</v>
      </c>
      <c r="N53" s="8">
        <f t="shared" si="11"/>
        <v>1614500</v>
      </c>
      <c r="O53" s="8">
        <f t="shared" si="11"/>
        <v>805500</v>
      </c>
      <c r="P53" s="8">
        <f t="shared" si="11"/>
        <v>1495000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5">
      <c r="A54" s="19"/>
      <c r="B54" s="19"/>
      <c r="C54" s="19"/>
      <c r="D54" s="20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26" ht="15.75" customHeight="1" x14ac:dyDescent="0.35"/>
    <row r="56" spans="1:26" ht="15.75" customHeight="1" x14ac:dyDescent="0.35"/>
    <row r="57" spans="1:26" ht="15.75" customHeight="1" x14ac:dyDescent="0.35"/>
    <row r="58" spans="1:26" ht="15.75" customHeight="1" x14ac:dyDescent="0.35"/>
    <row r="59" spans="1:26" ht="15.75" customHeight="1" x14ac:dyDescent="0.35"/>
    <row r="60" spans="1:26" ht="15.75" customHeight="1" x14ac:dyDescent="0.35"/>
    <row r="61" spans="1:26" ht="15.75" customHeight="1" x14ac:dyDescent="0.35"/>
    <row r="62" spans="1:26" ht="15.75" customHeight="1" x14ac:dyDescent="0.35"/>
    <row r="63" spans="1:26" ht="15.75" customHeight="1" x14ac:dyDescent="0.35"/>
    <row r="64" spans="1:26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</sheetData>
  <mergeCells count="1">
    <mergeCell ref="G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pane xSplit="3" ySplit="2" topLeftCell="D27" activePane="bottomRight" state="frozen"/>
      <selection pane="topRight" activeCell="D1" sqref="D1"/>
      <selection pane="bottomLeft" activeCell="A3" sqref="A3"/>
      <selection pane="bottomRight" activeCell="A33" sqref="A33"/>
    </sheetView>
  </sheetViews>
  <sheetFormatPr defaultColWidth="14.453125" defaultRowHeight="15" customHeight="1" x14ac:dyDescent="0.35"/>
  <cols>
    <col min="1" max="1" width="33.453125" customWidth="1"/>
    <col min="2" max="2" width="14.54296875" customWidth="1"/>
    <col min="3" max="3" width="23.08984375" customWidth="1"/>
    <col min="4" max="4" width="20.08984375" customWidth="1"/>
    <col min="5" max="5" width="17.6328125" customWidth="1"/>
    <col min="6" max="6" width="18.54296875" customWidth="1"/>
    <col min="7" max="8" width="17.6328125" customWidth="1"/>
    <col min="9" max="10" width="20.90625" customWidth="1"/>
    <col min="11" max="11" width="21.6328125" customWidth="1"/>
    <col min="12" max="12" width="24" customWidth="1"/>
    <col min="13" max="14" width="22.36328125" customWidth="1"/>
    <col min="15" max="15" width="21.6328125" customWidth="1"/>
    <col min="16" max="26" width="24.6328125" customWidth="1"/>
  </cols>
  <sheetData>
    <row r="1" spans="1:16" ht="23" x14ac:dyDescent="0.45">
      <c r="A1" s="1" t="s">
        <v>0</v>
      </c>
      <c r="B1" s="1"/>
      <c r="C1" s="1"/>
      <c r="F1" s="42" t="s">
        <v>1</v>
      </c>
      <c r="G1" s="43"/>
      <c r="H1" s="43"/>
      <c r="P1" s="1"/>
    </row>
    <row r="2" spans="1:16" ht="14.5" x14ac:dyDescent="0.35"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6" ht="14.5" x14ac:dyDescent="0.35">
      <c r="A3" s="3" t="s">
        <v>15</v>
      </c>
      <c r="B3" s="3"/>
      <c r="C3" s="4"/>
      <c r="D3" s="5" t="s">
        <v>6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14</v>
      </c>
      <c r="M3" s="5" t="s">
        <v>3</v>
      </c>
      <c r="N3" s="5" t="s">
        <v>4</v>
      </c>
      <c r="O3" s="5" t="s">
        <v>5</v>
      </c>
      <c r="P3" s="6"/>
    </row>
    <row r="4" spans="1:16" ht="14.5" x14ac:dyDescent="0.35">
      <c r="A4" s="11"/>
      <c r="B4" s="11" t="s">
        <v>26</v>
      </c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4.5" x14ac:dyDescent="0.35">
      <c r="A5" s="19"/>
      <c r="B5" s="19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6" ht="14.5" x14ac:dyDescent="0.35">
      <c r="A6" s="22" t="s">
        <v>33</v>
      </c>
      <c r="B6" s="22"/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16" ht="14.5" x14ac:dyDescent="0.35">
      <c r="A7" s="14" t="s">
        <v>34</v>
      </c>
      <c r="B7" s="14"/>
      <c r="C7" s="15">
        <f t="shared" ref="C7:O7" si="0">SUM(C8:C15)</f>
        <v>287500</v>
      </c>
      <c r="D7" s="15">
        <f t="shared" si="0"/>
        <v>545850</v>
      </c>
      <c r="E7" s="15">
        <f t="shared" si="0"/>
        <v>0</v>
      </c>
      <c r="F7" s="15">
        <f t="shared" si="0"/>
        <v>0</v>
      </c>
      <c r="G7" s="15">
        <f t="shared" si="0"/>
        <v>0</v>
      </c>
      <c r="H7" s="15">
        <f t="shared" si="0"/>
        <v>0</v>
      </c>
      <c r="I7" s="15">
        <f t="shared" si="0"/>
        <v>0</v>
      </c>
      <c r="J7" s="15">
        <f t="shared" si="0"/>
        <v>0</v>
      </c>
      <c r="K7" s="15">
        <f t="shared" si="0"/>
        <v>0</v>
      </c>
      <c r="L7" s="15">
        <f t="shared" si="0"/>
        <v>0</v>
      </c>
      <c r="M7" s="15">
        <f t="shared" si="0"/>
        <v>0</v>
      </c>
      <c r="N7" s="15">
        <f t="shared" si="0"/>
        <v>0</v>
      </c>
      <c r="O7" s="15">
        <f t="shared" si="0"/>
        <v>0</v>
      </c>
    </row>
    <row r="8" spans="1:16" ht="14.5" x14ac:dyDescent="0.35">
      <c r="A8" s="25" t="s">
        <v>70</v>
      </c>
      <c r="B8" s="25" t="s">
        <v>38</v>
      </c>
      <c r="C8" s="15">
        <f t="shared" ref="C8:C12" si="1">SUM(D8:O8)</f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 spans="1:16" ht="14.5" x14ac:dyDescent="0.35">
      <c r="A9" s="25" t="s">
        <v>71</v>
      </c>
      <c r="B9" s="25" t="s">
        <v>38</v>
      </c>
      <c r="C9" s="15">
        <f t="shared" si="1"/>
        <v>0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16" ht="14.5" x14ac:dyDescent="0.35">
      <c r="A10" s="25" t="s">
        <v>72</v>
      </c>
      <c r="B10" s="25" t="s">
        <v>38</v>
      </c>
      <c r="C10" s="15">
        <f t="shared" si="1"/>
        <v>28000</v>
      </c>
      <c r="D10" s="26">
        <v>28000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1:16" ht="14.5" x14ac:dyDescent="0.35">
      <c r="A11" s="25" t="s">
        <v>73</v>
      </c>
      <c r="B11" s="25" t="s">
        <v>38</v>
      </c>
      <c r="C11" s="15">
        <f t="shared" si="1"/>
        <v>150000</v>
      </c>
      <c r="D11" s="26">
        <v>150000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</row>
    <row r="12" spans="1:16" ht="14.5" x14ac:dyDescent="0.35">
      <c r="A12" s="25" t="s">
        <v>74</v>
      </c>
      <c r="B12" s="25" t="s">
        <v>38</v>
      </c>
      <c r="C12" s="15">
        <f t="shared" si="1"/>
        <v>75000</v>
      </c>
      <c r="D12" s="26">
        <v>75000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6" ht="14.5" x14ac:dyDescent="0.35">
      <c r="A13" s="25" t="s">
        <v>75</v>
      </c>
      <c r="B13" s="25" t="s">
        <v>38</v>
      </c>
      <c r="C13" s="15"/>
      <c r="D13" s="26">
        <v>58350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6" ht="14.5" x14ac:dyDescent="0.35">
      <c r="A14" s="25" t="s">
        <v>76</v>
      </c>
      <c r="B14" s="25" t="s">
        <v>38</v>
      </c>
      <c r="C14" s="15"/>
      <c r="D14" s="26">
        <v>200000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6" ht="14.5" x14ac:dyDescent="0.35">
      <c r="A15" s="25" t="s">
        <v>77</v>
      </c>
      <c r="B15" s="25" t="s">
        <v>38</v>
      </c>
      <c r="C15" s="15">
        <f>SUM(D15:O15)</f>
        <v>34500</v>
      </c>
      <c r="D15" s="17">
        <v>34500</v>
      </c>
      <c r="E15" s="26"/>
      <c r="F15" s="26"/>
      <c r="G15" s="26"/>
      <c r="H15" s="26"/>
      <c r="I15" s="26"/>
      <c r="J15" s="26"/>
      <c r="K15" s="26"/>
      <c r="L15" s="17"/>
      <c r="M15" s="17"/>
      <c r="N15" s="17"/>
      <c r="O15" s="17"/>
    </row>
    <row r="16" spans="1:16" ht="14.5" x14ac:dyDescent="0.35">
      <c r="A16" s="25"/>
      <c r="B16" s="25"/>
      <c r="C16" s="15"/>
      <c r="D16" s="26"/>
      <c r="E16" s="26"/>
      <c r="F16" s="26"/>
      <c r="G16" s="26"/>
      <c r="H16" s="26"/>
      <c r="I16" s="26"/>
      <c r="J16" s="26"/>
      <c r="K16" s="26"/>
      <c r="L16" s="17"/>
      <c r="M16" s="17"/>
      <c r="N16" s="17"/>
      <c r="O16" s="17"/>
    </row>
    <row r="17" spans="1:15" ht="14.5" x14ac:dyDescent="0.35">
      <c r="A17" s="14" t="s">
        <v>35</v>
      </c>
      <c r="B17" s="14"/>
      <c r="C17" s="15">
        <f t="shared" ref="C17:O17" si="2">SUM(C18:C21)</f>
        <v>129100</v>
      </c>
      <c r="D17" s="15">
        <f t="shared" si="2"/>
        <v>129100</v>
      </c>
      <c r="E17" s="15">
        <f t="shared" si="2"/>
        <v>0</v>
      </c>
      <c r="F17" s="15">
        <f t="shared" si="2"/>
        <v>0</v>
      </c>
      <c r="G17" s="15">
        <f t="shared" si="2"/>
        <v>0</v>
      </c>
      <c r="H17" s="15">
        <f t="shared" si="2"/>
        <v>0</v>
      </c>
      <c r="I17" s="15">
        <f t="shared" si="2"/>
        <v>0</v>
      </c>
      <c r="J17" s="15">
        <f t="shared" si="2"/>
        <v>0</v>
      </c>
      <c r="K17" s="15">
        <f t="shared" si="2"/>
        <v>0</v>
      </c>
      <c r="L17" s="15">
        <f t="shared" si="2"/>
        <v>0</v>
      </c>
      <c r="M17" s="15">
        <f t="shared" si="2"/>
        <v>0</v>
      </c>
      <c r="N17" s="15">
        <f t="shared" si="2"/>
        <v>0</v>
      </c>
      <c r="O17" s="15">
        <f t="shared" si="2"/>
        <v>0</v>
      </c>
    </row>
    <row r="18" spans="1:15" ht="14.5" x14ac:dyDescent="0.35">
      <c r="A18" s="25" t="s">
        <v>78</v>
      </c>
      <c r="B18" s="25" t="s">
        <v>58</v>
      </c>
      <c r="C18" s="15">
        <f t="shared" ref="C18:C20" si="3">SUM(D18:O18)</f>
        <v>39200</v>
      </c>
      <c r="D18" s="26">
        <v>39200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1:15" ht="14.5" x14ac:dyDescent="0.35">
      <c r="A19" s="25" t="s">
        <v>79</v>
      </c>
      <c r="B19" s="25" t="s">
        <v>53</v>
      </c>
      <c r="C19" s="15">
        <f t="shared" si="3"/>
        <v>25000</v>
      </c>
      <c r="D19" s="26">
        <v>25000</v>
      </c>
      <c r="E19" s="26"/>
      <c r="F19" s="26"/>
      <c r="G19" s="26"/>
      <c r="H19" s="26"/>
      <c r="I19" s="26"/>
      <c r="J19" s="26"/>
      <c r="K19" s="26"/>
      <c r="L19" s="17"/>
      <c r="M19" s="26"/>
      <c r="N19" s="26"/>
      <c r="O19" s="26"/>
    </row>
    <row r="20" spans="1:15" ht="14.5" x14ac:dyDescent="0.35">
      <c r="A20" s="25" t="s">
        <v>80</v>
      </c>
      <c r="B20" s="25" t="s">
        <v>53</v>
      </c>
      <c r="C20" s="15">
        <f t="shared" si="3"/>
        <v>64900</v>
      </c>
      <c r="D20" s="26">
        <v>64900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1:15" ht="15.75" customHeight="1" x14ac:dyDescent="0.35">
      <c r="A21" s="25"/>
      <c r="B21" s="25"/>
      <c r="C21" s="15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1:15" ht="15.75" customHeight="1" x14ac:dyDescent="0.35">
      <c r="A22" s="25"/>
      <c r="B22" s="25"/>
      <c r="C22" s="1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pans="1:15" ht="15.75" customHeight="1" x14ac:dyDescent="0.35">
      <c r="A23" s="14" t="s">
        <v>36</v>
      </c>
      <c r="B23" s="14"/>
      <c r="C23" s="15">
        <f t="shared" ref="C23:O23" si="4">SUM(C24:C26)</f>
        <v>89925</v>
      </c>
      <c r="D23" s="15">
        <f t="shared" si="4"/>
        <v>89925</v>
      </c>
      <c r="E23" s="15">
        <f t="shared" si="4"/>
        <v>0</v>
      </c>
      <c r="F23" s="15">
        <f t="shared" si="4"/>
        <v>0</v>
      </c>
      <c r="G23" s="15">
        <f t="shared" si="4"/>
        <v>0</v>
      </c>
      <c r="H23" s="15">
        <f t="shared" si="4"/>
        <v>0</v>
      </c>
      <c r="I23" s="15">
        <f t="shared" si="4"/>
        <v>0</v>
      </c>
      <c r="J23" s="15">
        <f t="shared" si="4"/>
        <v>0</v>
      </c>
      <c r="K23" s="15">
        <f t="shared" si="4"/>
        <v>0</v>
      </c>
      <c r="L23" s="15">
        <f t="shared" si="4"/>
        <v>0</v>
      </c>
      <c r="M23" s="15">
        <f t="shared" si="4"/>
        <v>0</v>
      </c>
      <c r="N23" s="15">
        <f t="shared" si="4"/>
        <v>0</v>
      </c>
      <c r="O23" s="15">
        <f t="shared" si="4"/>
        <v>0</v>
      </c>
    </row>
    <row r="24" spans="1:15" ht="15.75" customHeight="1" x14ac:dyDescent="0.35">
      <c r="A24" s="25" t="s">
        <v>81</v>
      </c>
      <c r="B24" s="25" t="s">
        <v>38</v>
      </c>
      <c r="C24" s="15">
        <f t="shared" ref="C24:C26" si="5">SUM(D24:O24)</f>
        <v>22525</v>
      </c>
      <c r="D24" s="26">
        <v>22525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1:15" ht="15.75" customHeight="1" x14ac:dyDescent="0.35">
      <c r="A25" s="25" t="s">
        <v>82</v>
      </c>
      <c r="B25" s="25" t="s">
        <v>38</v>
      </c>
      <c r="C25" s="15">
        <f t="shared" si="5"/>
        <v>14400</v>
      </c>
      <c r="D25" s="26">
        <v>14400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spans="1:15" ht="15.75" customHeight="1" x14ac:dyDescent="0.35">
      <c r="A26" s="25" t="s">
        <v>65</v>
      </c>
      <c r="B26" s="25" t="s">
        <v>38</v>
      </c>
      <c r="C26" s="15">
        <f t="shared" si="5"/>
        <v>53000</v>
      </c>
      <c r="D26" s="26">
        <v>53000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spans="1:15" ht="15.75" customHeight="1" x14ac:dyDescent="0.35">
      <c r="A27" s="25"/>
      <c r="B27" s="25"/>
      <c r="C27" s="15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1:15" ht="15.75" customHeight="1" x14ac:dyDescent="0.35">
      <c r="A28" s="25" t="s">
        <v>37</v>
      </c>
      <c r="B28" s="25" t="s">
        <v>38</v>
      </c>
      <c r="C28" s="15">
        <f t="shared" ref="C28:C29" si="6">SUM(D28:O28)</f>
        <v>23264</v>
      </c>
      <c r="D28" s="26">
        <v>23264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spans="1:15" ht="15.75" customHeight="1" x14ac:dyDescent="0.35">
      <c r="A29" s="16" t="s">
        <v>40</v>
      </c>
      <c r="B29" s="25" t="s">
        <v>38</v>
      </c>
      <c r="C29" s="15">
        <f t="shared" si="6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ht="15.75" customHeight="1" x14ac:dyDescent="0.35">
      <c r="A30" s="25"/>
      <c r="B30" s="25"/>
      <c r="C30" s="15"/>
      <c r="D30" s="17"/>
      <c r="E30" s="17"/>
      <c r="F30" s="17"/>
      <c r="G30" s="17"/>
      <c r="H30" s="17"/>
      <c r="I30" s="17"/>
      <c r="J30" s="17"/>
      <c r="K30" s="26"/>
      <c r="L30" s="26"/>
      <c r="M30" s="26"/>
      <c r="N30" s="26"/>
      <c r="O30" s="26"/>
    </row>
    <row r="31" spans="1:15" ht="15.75" customHeight="1" x14ac:dyDescent="0.35">
      <c r="A31" s="39" t="s">
        <v>66</v>
      </c>
      <c r="B31" s="2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5.75" customHeight="1" x14ac:dyDescent="0.35">
      <c r="A32" s="27" t="s">
        <v>83</v>
      </c>
      <c r="B32" s="25" t="s">
        <v>38</v>
      </c>
      <c r="C32" s="15">
        <f>SUM(D32:O32)</f>
        <v>120000</v>
      </c>
      <c r="D32" s="17">
        <v>10000</v>
      </c>
      <c r="E32" s="17">
        <v>10000</v>
      </c>
      <c r="F32" s="17">
        <v>10000</v>
      </c>
      <c r="G32" s="17">
        <v>10000</v>
      </c>
      <c r="H32" s="17">
        <v>10000</v>
      </c>
      <c r="I32" s="17">
        <v>10000</v>
      </c>
      <c r="J32" s="17">
        <v>10000</v>
      </c>
      <c r="K32" s="17">
        <v>10000</v>
      </c>
      <c r="L32" s="17">
        <v>10000</v>
      </c>
      <c r="M32" s="17">
        <v>10000</v>
      </c>
      <c r="N32" s="17">
        <v>10000</v>
      </c>
      <c r="O32" s="17">
        <v>10000</v>
      </c>
    </row>
    <row r="33" spans="1:15" ht="15.75" customHeight="1" x14ac:dyDescent="0.35">
      <c r="A33" s="27"/>
      <c r="B33" s="25"/>
      <c r="C33" s="15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ht="15.75" customHeight="1" x14ac:dyDescent="0.35">
      <c r="A34" s="27"/>
      <c r="B34" s="25"/>
      <c r="C34" s="1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.75" customHeight="1" x14ac:dyDescent="0.35">
      <c r="A35" s="27"/>
      <c r="B35" s="25"/>
      <c r="C35" s="1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ht="15.75" customHeight="1" x14ac:dyDescent="0.35">
      <c r="A36" s="16"/>
      <c r="B36" s="16"/>
      <c r="C36" s="15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.75" customHeight="1" x14ac:dyDescent="0.35">
      <c r="A37" s="14" t="s">
        <v>67</v>
      </c>
      <c r="B37" s="16"/>
      <c r="C37" s="15">
        <f t="shared" ref="C37:O37" si="7">SUM(C38:C54)</f>
        <v>0</v>
      </c>
      <c r="D37" s="15">
        <f t="shared" si="7"/>
        <v>0</v>
      </c>
      <c r="E37" s="15">
        <f t="shared" si="7"/>
        <v>0</v>
      </c>
      <c r="F37" s="15">
        <f t="shared" si="7"/>
        <v>0</v>
      </c>
      <c r="G37" s="15">
        <f t="shared" si="7"/>
        <v>0</v>
      </c>
      <c r="H37" s="15">
        <f t="shared" si="7"/>
        <v>0</v>
      </c>
      <c r="I37" s="15">
        <f t="shared" si="7"/>
        <v>0</v>
      </c>
      <c r="J37" s="15">
        <f t="shared" si="7"/>
        <v>0</v>
      </c>
      <c r="K37" s="15">
        <f t="shared" si="7"/>
        <v>0</v>
      </c>
      <c r="L37" s="15">
        <f t="shared" si="7"/>
        <v>0</v>
      </c>
      <c r="M37" s="15">
        <f t="shared" si="7"/>
        <v>0</v>
      </c>
      <c r="N37" s="15">
        <f t="shared" si="7"/>
        <v>0</v>
      </c>
      <c r="O37" s="15">
        <f t="shared" si="7"/>
        <v>0</v>
      </c>
    </row>
    <row r="38" spans="1:15" ht="15.75" customHeight="1" x14ac:dyDescent="0.35">
      <c r="A38" s="16"/>
      <c r="B38" s="16"/>
      <c r="C38" s="15">
        <f t="shared" ref="C38:C54" si="8">SUM(D38:O38)</f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ht="15.75" customHeight="1" x14ac:dyDescent="0.35">
      <c r="A39" s="16"/>
      <c r="B39" s="16"/>
      <c r="C39" s="15">
        <f t="shared" si="8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 ht="15.75" customHeight="1" x14ac:dyDescent="0.35">
      <c r="A40" s="16"/>
      <c r="B40" s="16"/>
      <c r="C40" s="15">
        <f t="shared" si="8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1:15" ht="15.75" customHeight="1" x14ac:dyDescent="0.35">
      <c r="A41" s="16"/>
      <c r="B41" s="16"/>
      <c r="C41" s="15">
        <f t="shared" si="8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ht="15.75" customHeight="1" x14ac:dyDescent="0.35">
      <c r="A42" s="16"/>
      <c r="B42" s="16"/>
      <c r="C42" s="15">
        <f t="shared" si="8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15.75" customHeight="1" x14ac:dyDescent="0.35">
      <c r="A43" s="16"/>
      <c r="B43" s="16"/>
      <c r="C43" s="15">
        <f t="shared" si="8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.75" customHeight="1" x14ac:dyDescent="0.35">
      <c r="A44" s="16"/>
      <c r="B44" s="16"/>
      <c r="C44" s="15">
        <f t="shared" si="8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ht="15.75" customHeight="1" x14ac:dyDescent="0.35">
      <c r="A45" s="16"/>
      <c r="B45" s="16"/>
      <c r="C45" s="15">
        <f t="shared" si="8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1:15" ht="15.75" customHeight="1" x14ac:dyDescent="0.35">
      <c r="A46" s="16"/>
      <c r="B46" s="16"/>
      <c r="C46" s="15">
        <f t="shared" si="8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spans="1:15" ht="15.75" customHeight="1" x14ac:dyDescent="0.35">
      <c r="A47" s="16"/>
      <c r="B47" s="16"/>
      <c r="C47" s="15">
        <f t="shared" si="8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ht="15.75" customHeight="1" x14ac:dyDescent="0.35">
      <c r="A48" s="16"/>
      <c r="B48" s="16"/>
      <c r="C48" s="15">
        <f t="shared" si="8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ht="15.75" customHeight="1" x14ac:dyDescent="0.35">
      <c r="A49" s="16"/>
      <c r="B49" s="16"/>
      <c r="C49" s="15">
        <f t="shared" si="8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36"/>
      <c r="N49" s="17"/>
      <c r="O49" s="17"/>
    </row>
    <row r="50" spans="1:15" ht="15.75" customHeight="1" x14ac:dyDescent="0.35">
      <c r="A50" s="16"/>
      <c r="B50" s="16"/>
      <c r="C50" s="15">
        <f t="shared" si="8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 spans="1:15" ht="15.75" customHeight="1" x14ac:dyDescent="0.35">
      <c r="A51" s="16"/>
      <c r="B51" s="16"/>
      <c r="C51" s="15">
        <f t="shared" si="8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.75" customHeight="1" x14ac:dyDescent="0.35">
      <c r="A52" s="16"/>
      <c r="B52" s="16"/>
      <c r="C52" s="15">
        <f t="shared" si="8"/>
        <v>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.75" customHeight="1" x14ac:dyDescent="0.35">
      <c r="A53" s="16"/>
      <c r="B53" s="16"/>
      <c r="C53" s="15">
        <f t="shared" si="8"/>
        <v>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ht="15.75" customHeight="1" x14ac:dyDescent="0.35">
      <c r="A54" s="16" t="s">
        <v>68</v>
      </c>
      <c r="B54" s="16" t="s">
        <v>38</v>
      </c>
      <c r="C54" s="15">
        <f t="shared" si="8"/>
        <v>0</v>
      </c>
      <c r="D54" s="17"/>
      <c r="E54" s="28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.75" customHeight="1" x14ac:dyDescent="0.35">
      <c r="A55" s="16"/>
      <c r="B55" s="16"/>
      <c r="C55" s="15"/>
      <c r="D55" s="17"/>
      <c r="E55" s="28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ht="15.75" customHeight="1" x14ac:dyDescent="0.35">
      <c r="A56" s="16"/>
      <c r="B56" s="16"/>
      <c r="C56" s="15"/>
      <c r="D56" s="17"/>
      <c r="E56" s="28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.75" customHeight="1" x14ac:dyDescent="0.35">
      <c r="A57" s="16"/>
      <c r="B57" s="16"/>
      <c r="C57" s="15"/>
      <c r="D57" s="17"/>
      <c r="E57" s="28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5.75" customHeight="1" x14ac:dyDescent="0.35">
      <c r="A58" s="29" t="s">
        <v>42</v>
      </c>
      <c r="B58" s="29"/>
      <c r="C58" s="30">
        <f t="shared" ref="C58:O58" si="9">C37+C31+C23+C17+C7</f>
        <v>506525</v>
      </c>
      <c r="D58" s="30">
        <f t="shared" si="9"/>
        <v>764875</v>
      </c>
      <c r="E58" s="30">
        <f t="shared" si="9"/>
        <v>0</v>
      </c>
      <c r="F58" s="30">
        <f t="shared" si="9"/>
        <v>0</v>
      </c>
      <c r="G58" s="30">
        <f t="shared" si="9"/>
        <v>0</v>
      </c>
      <c r="H58" s="30">
        <f t="shared" si="9"/>
        <v>0</v>
      </c>
      <c r="I58" s="30">
        <f t="shared" si="9"/>
        <v>0</v>
      </c>
      <c r="J58" s="30">
        <f t="shared" si="9"/>
        <v>0</v>
      </c>
      <c r="K58" s="30">
        <f t="shared" si="9"/>
        <v>0</v>
      </c>
      <c r="L58" s="30">
        <f t="shared" si="9"/>
        <v>0</v>
      </c>
      <c r="M58" s="30">
        <f t="shared" si="9"/>
        <v>0</v>
      </c>
      <c r="N58" s="30">
        <f t="shared" si="9"/>
        <v>0</v>
      </c>
      <c r="O58" s="30">
        <f t="shared" si="9"/>
        <v>0</v>
      </c>
    </row>
    <row r="59" spans="1:15" ht="3" customHeight="1" x14ac:dyDescent="0.35">
      <c r="A59" s="31"/>
      <c r="B59" s="31"/>
      <c r="C59" s="32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</row>
    <row r="60" spans="1:15" ht="15.75" customHeight="1" x14ac:dyDescent="0.35"/>
    <row r="61" spans="1:15" ht="15.75" customHeight="1" x14ac:dyDescent="0.35"/>
    <row r="62" spans="1:15" ht="15.75" customHeight="1" x14ac:dyDescent="0.35"/>
    <row r="63" spans="1:15" ht="15.75" customHeight="1" x14ac:dyDescent="0.35"/>
    <row r="64" spans="1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F1:H1"/>
  </mergeCells>
  <phoneticPr fontId="17" type="noConversion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Income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Balvindar Singh Sabarwal</dc:creator>
  <cp:lastModifiedBy>Nayan Mistry</cp:lastModifiedBy>
  <dcterms:created xsi:type="dcterms:W3CDTF">2024-09-21T15:12:29Z</dcterms:created>
  <dcterms:modified xsi:type="dcterms:W3CDTF">2026-06-06T14:53:02Z</dcterms:modified>
</cp:coreProperties>
</file>